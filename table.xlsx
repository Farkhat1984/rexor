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РЕЗ КОП\ок по\ок\"/>
    </mc:Choice>
  </mc:AlternateContent>
  <xr:revisionPtr revIDLastSave="0" documentId="13_ncr:1_{E1584E51-B96B-4928-A0EE-3D1728417F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E10" i="1"/>
  <c r="E44" i="1"/>
  <c r="E45" i="1"/>
  <c r="E8" i="1"/>
  <c r="E7" i="1"/>
  <c r="E56" i="1"/>
  <c r="E55" i="1"/>
  <c r="E57" i="1"/>
  <c r="E58" i="1"/>
  <c r="E59" i="1"/>
  <c r="E2" i="1"/>
  <c r="E3" i="1"/>
  <c r="E4" i="1"/>
  <c r="E5" i="1"/>
  <c r="E6" i="1"/>
  <c r="E11" i="1"/>
  <c r="E12" i="1"/>
  <c r="E13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4" i="1"/>
  <c r="E35" i="1"/>
  <c r="E36" i="1"/>
  <c r="E37" i="1"/>
  <c r="E38" i="1"/>
  <c r="E39" i="1"/>
  <c r="E40" i="1"/>
  <c r="E41" i="1"/>
  <c r="E42" i="1"/>
  <c r="E43" i="1"/>
  <c r="E48" i="1"/>
  <c r="E51" i="1"/>
  <c r="E52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5" i="1"/>
  <c r="E16" i="1"/>
  <c r="E32" i="1"/>
  <c r="E33" i="1"/>
  <c r="E46" i="1"/>
  <c r="E47" i="1"/>
  <c r="E49" i="1"/>
  <c r="E50" i="1"/>
  <c r="E53" i="1"/>
  <c r="E54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4" i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4" i="2"/>
</calcChain>
</file>

<file path=xl/sharedStrings.xml><?xml version="1.0" encoding="utf-8"?>
<sst xmlns="http://schemas.openxmlformats.org/spreadsheetml/2006/main" count="3209" uniqueCount="304">
  <si>
    <t>Штрихкод</t>
  </si>
  <si>
    <t>Артикул</t>
  </si>
  <si>
    <t>Страна производитель</t>
  </si>
  <si>
    <t>Бренд</t>
  </si>
  <si>
    <t>Номенклатура</t>
  </si>
  <si>
    <t>Гендер</t>
  </si>
  <si>
    <t>Цвет ремешка</t>
  </si>
  <si>
    <t>Цвет циферблата</t>
  </si>
  <si>
    <t>Размер корпуса</t>
  </si>
  <si>
    <t>Водонепроницаемость</t>
  </si>
  <si>
    <t>Стекло</t>
  </si>
  <si>
    <t>Форма корпуса</t>
  </si>
  <si>
    <t>Индикаторы</t>
  </si>
  <si>
    <t>Способ отображения времени</t>
  </si>
  <si>
    <t>Дополнительные функции</t>
  </si>
  <si>
    <t>Механизм</t>
  </si>
  <si>
    <t>Характеристики браслета</t>
  </si>
  <si>
    <t>Характеристики корпуса</t>
  </si>
  <si>
    <t>Вес</t>
  </si>
  <si>
    <t>Комплектация</t>
  </si>
  <si>
    <t>Парность</t>
  </si>
  <si>
    <t>Источник энергии</t>
  </si>
  <si>
    <t>Описание</t>
  </si>
  <si>
    <t>Количество</t>
  </si>
  <si>
    <t>Цена закупа</t>
  </si>
  <si>
    <t>Себестоимость с расходами</t>
  </si>
  <si>
    <t>Розничная цена</t>
  </si>
  <si>
    <t>LC08131.300</t>
  </si>
  <si>
    <t>Lee Cooper</t>
  </si>
  <si>
    <t>женский</t>
  </si>
  <si>
    <t xml:space="preserve">серебристый </t>
  </si>
  <si>
    <t>голубой</t>
  </si>
  <si>
    <t>23мм</t>
  </si>
  <si>
    <t>3 атм</t>
  </si>
  <si>
    <t>минеральное</t>
  </si>
  <si>
    <t>квадрат</t>
  </si>
  <si>
    <t>нет</t>
  </si>
  <si>
    <t>аналоговое</t>
  </si>
  <si>
    <t>кварц</t>
  </si>
  <si>
    <t>нержавеющая сталь</t>
  </si>
  <si>
    <t>батарейка</t>
  </si>
  <si>
    <t>LC08131.110</t>
  </si>
  <si>
    <t>золотой</t>
  </si>
  <si>
    <t>золотой, черный</t>
  </si>
  <si>
    <t>LC08140.120</t>
  </si>
  <si>
    <t>перламутровый</t>
  </si>
  <si>
    <t>круг</t>
  </si>
  <si>
    <t>LC08130.320</t>
  </si>
  <si>
    <t>22мм</t>
  </si>
  <si>
    <t>LC08130.120</t>
  </si>
  <si>
    <t>LC08136.130</t>
  </si>
  <si>
    <t>серебристый</t>
  </si>
  <si>
    <t>27мм</t>
  </si>
  <si>
    <t>LC08136.370</t>
  </si>
  <si>
    <t>розовый</t>
  </si>
  <si>
    <t>LC08052.120</t>
  </si>
  <si>
    <t>33мм</t>
  </si>
  <si>
    <t>LC08052.170</t>
  </si>
  <si>
    <t>изумруд</t>
  </si>
  <si>
    <t>LC08158.320</t>
  </si>
  <si>
    <t>32мм</t>
  </si>
  <si>
    <t>LC08155.120</t>
  </si>
  <si>
    <t>25мм</t>
  </si>
  <si>
    <t>LC08155.220</t>
  </si>
  <si>
    <t>серебристый, золотой</t>
  </si>
  <si>
    <t>LC08155.170</t>
  </si>
  <si>
    <t>бирюза</t>
  </si>
  <si>
    <t>LC08155.320</t>
  </si>
  <si>
    <t>LC07818.220</t>
  </si>
  <si>
    <t>LC07818.130</t>
  </si>
  <si>
    <t>LC07818.320</t>
  </si>
  <si>
    <t>LC08041.230</t>
  </si>
  <si>
    <t>LC08041.170</t>
  </si>
  <si>
    <t>зеленый</t>
  </si>
  <si>
    <t>LC08083.130</t>
  </si>
  <si>
    <t>белый</t>
  </si>
  <si>
    <t>LC08083.230</t>
  </si>
  <si>
    <t>LC08158.120</t>
  </si>
  <si>
    <t>LC08158.220</t>
  </si>
  <si>
    <t>LC08132.120</t>
  </si>
  <si>
    <t>30мм</t>
  </si>
  <si>
    <t>LC08132.320</t>
  </si>
  <si>
    <t>LC08132.220</t>
  </si>
  <si>
    <t>LC08180.594</t>
  </si>
  <si>
    <t>мужской</t>
  </si>
  <si>
    <t>хаки</t>
  </si>
  <si>
    <t>бронза</t>
  </si>
  <si>
    <t>40мм</t>
  </si>
  <si>
    <t>5 атм</t>
  </si>
  <si>
    <t>3 шт</t>
  </si>
  <si>
    <t>двойной 24-формат, день недели, дата</t>
  </si>
  <si>
    <t>кожа</t>
  </si>
  <si>
    <t>LC08180.362</t>
  </si>
  <si>
    <t>коричневый</t>
  </si>
  <si>
    <t>LC08180.399</t>
  </si>
  <si>
    <t>синий</t>
  </si>
  <si>
    <t>LC08172.339</t>
  </si>
  <si>
    <t>42мм</t>
  </si>
  <si>
    <t>LC08172.399</t>
  </si>
  <si>
    <t>LC08172.351</t>
  </si>
  <si>
    <t>черный</t>
  </si>
  <si>
    <t>LC08172.592</t>
  </si>
  <si>
    <t>LC08186.331</t>
  </si>
  <si>
    <t>49мм</t>
  </si>
  <si>
    <t>LC08179.133</t>
  </si>
  <si>
    <t>золотой, серебристый</t>
  </si>
  <si>
    <t>дата</t>
  </si>
  <si>
    <t>LC08184.652</t>
  </si>
  <si>
    <t>градиент</t>
  </si>
  <si>
    <t>LC08184.352</t>
  </si>
  <si>
    <t>LC08184.331</t>
  </si>
  <si>
    <t>LC08168.351</t>
  </si>
  <si>
    <t>43мм</t>
  </si>
  <si>
    <t>LC08168.399</t>
  </si>
  <si>
    <t>LC08168.594</t>
  </si>
  <si>
    <t>LC08189.360</t>
  </si>
  <si>
    <t>LC08139.300</t>
  </si>
  <si>
    <t>LC08182.350</t>
  </si>
  <si>
    <t>LC08182.390</t>
  </si>
  <si>
    <t>LC08182.360</t>
  </si>
  <si>
    <t>LC08139.390</t>
  </si>
  <si>
    <t>LC08139.360</t>
  </si>
  <si>
    <t>24-формат, секундамер, дата</t>
  </si>
  <si>
    <t>LC08171.360</t>
  </si>
  <si>
    <t>черный, золотой</t>
  </si>
  <si>
    <t>LC08142.370</t>
  </si>
  <si>
    <t xml:space="preserve">оливковый </t>
  </si>
  <si>
    <t>LC08142.390</t>
  </si>
  <si>
    <t>LC08175.350</t>
  </si>
  <si>
    <t>день недели, 24-формат, дата</t>
  </si>
  <si>
    <t>LC08175.390</t>
  </si>
  <si>
    <t>LC08150.099</t>
  </si>
  <si>
    <t>каучук</t>
  </si>
  <si>
    <t>LC08150.351</t>
  </si>
  <si>
    <t>LC08144.390</t>
  </si>
  <si>
    <t>LC08144.330</t>
  </si>
  <si>
    <t>LC08194.390</t>
  </si>
  <si>
    <t>LC08194.360</t>
  </si>
  <si>
    <t>LC08146.390</t>
  </si>
  <si>
    <t>LC08146.060</t>
  </si>
  <si>
    <t>LC08176.250</t>
  </si>
  <si>
    <t>механика</t>
  </si>
  <si>
    <t>пружинный механизм</t>
  </si>
  <si>
    <t>LC08176.350</t>
  </si>
  <si>
    <t>LC08176.390</t>
  </si>
  <si>
    <t>LC07977.390</t>
  </si>
  <si>
    <t>LC07977.370</t>
  </si>
  <si>
    <t>минтол</t>
  </si>
  <si>
    <t>LC08198.350</t>
  </si>
  <si>
    <t>38мм</t>
  </si>
  <si>
    <t>LC08198.390</t>
  </si>
  <si>
    <t>LC08167.260</t>
  </si>
  <si>
    <t>серый</t>
  </si>
  <si>
    <t>28мм</t>
  </si>
  <si>
    <t>LC07814.117</t>
  </si>
  <si>
    <t>аналоговый</t>
  </si>
  <si>
    <t>штрихи</t>
  </si>
  <si>
    <t>LC08025.399</t>
  </si>
  <si>
    <t>камни</t>
  </si>
  <si>
    <t>LC08034.321</t>
  </si>
  <si>
    <t>LC07493.651</t>
  </si>
  <si>
    <t>красный</t>
  </si>
  <si>
    <t>секундамер</t>
  </si>
  <si>
    <t>LC07493.099</t>
  </si>
  <si>
    <t>LC08099.390</t>
  </si>
  <si>
    <t>день недели, дата, 24-формат</t>
  </si>
  <si>
    <t>LC08099.377</t>
  </si>
  <si>
    <t>LC08099.399</t>
  </si>
  <si>
    <t>LC08107.134</t>
  </si>
  <si>
    <t>LC08108.134</t>
  </si>
  <si>
    <t>8681668284234</t>
  </si>
  <si>
    <t>LC07210.339</t>
  </si>
  <si>
    <t>3шт</t>
  </si>
  <si>
    <t>секундамер, дата</t>
  </si>
  <si>
    <t xml:space="preserve">каучук </t>
  </si>
  <si>
    <t>8681668276789</t>
  </si>
  <si>
    <t>LC07215.350</t>
  </si>
  <si>
    <t>8681668276741</t>
  </si>
  <si>
    <t>LC07215.390</t>
  </si>
  <si>
    <t>фиолетовый</t>
  </si>
  <si>
    <t>LC07478.120</t>
  </si>
  <si>
    <t>золотистый</t>
  </si>
  <si>
    <t>8681668391079</t>
  </si>
  <si>
    <t>LC07478.220</t>
  </si>
  <si>
    <t>серебристый, золотистый</t>
  </si>
  <si>
    <t>8681668450929</t>
  </si>
  <si>
    <t>LC07815.120</t>
  </si>
  <si>
    <t>8681668450936</t>
  </si>
  <si>
    <t>LC07815.170</t>
  </si>
  <si>
    <t>8681668450912</t>
  </si>
  <si>
    <t>LC07815.320</t>
  </si>
  <si>
    <t>8681668472204</t>
  </si>
  <si>
    <t>LC07905.360</t>
  </si>
  <si>
    <t>скелетон</t>
  </si>
  <si>
    <t>8681668510753</t>
  </si>
  <si>
    <t>LC07940.130</t>
  </si>
  <si>
    <t>прямоугольный</t>
  </si>
  <si>
    <t>римские</t>
  </si>
  <si>
    <t>8681668617384</t>
  </si>
  <si>
    <t>LC07940.170</t>
  </si>
  <si>
    <t>LC07940.230</t>
  </si>
  <si>
    <t>8681668510692</t>
  </si>
  <si>
    <t>LC07940.330</t>
  </si>
  <si>
    <t>8681668512771</t>
  </si>
  <si>
    <t>LC07943.351</t>
  </si>
  <si>
    <t>секундамер, 24-формат, дата</t>
  </si>
  <si>
    <t>LC07943.361</t>
  </si>
  <si>
    <t>8681668512795</t>
  </si>
  <si>
    <t>LC07943.374</t>
  </si>
  <si>
    <t>8681668512788</t>
  </si>
  <si>
    <t>LC07943.399</t>
  </si>
  <si>
    <t>8681668512115</t>
  </si>
  <si>
    <t>LC07973.351</t>
  </si>
  <si>
    <t>8681668512139</t>
  </si>
  <si>
    <t>LC07973.377</t>
  </si>
  <si>
    <t>8681668512122</t>
  </si>
  <si>
    <t>LC07973.399</t>
  </si>
  <si>
    <t>LC07973.651</t>
  </si>
  <si>
    <t>8681668512061</t>
  </si>
  <si>
    <t>LC07974.350</t>
  </si>
  <si>
    <t>8681668512085</t>
  </si>
  <si>
    <t>LC07974.390</t>
  </si>
  <si>
    <t>8681668511828</t>
  </si>
  <si>
    <t>LC07978.351</t>
  </si>
  <si>
    <t>8681668511873</t>
  </si>
  <si>
    <t>LC07978.377</t>
  </si>
  <si>
    <t>8681668511842</t>
  </si>
  <si>
    <t>LC07978.399</t>
  </si>
  <si>
    <t>8681668511774</t>
  </si>
  <si>
    <t>LC07979.351</t>
  </si>
  <si>
    <t>бочкобразный</t>
  </si>
  <si>
    <t>8681668511798</t>
  </si>
  <si>
    <t>LC07979.377</t>
  </si>
  <si>
    <t>8681668511781</t>
  </si>
  <si>
    <t>LC07979.399</t>
  </si>
  <si>
    <t>8681668512252</t>
  </si>
  <si>
    <t>LC07986.350</t>
  </si>
  <si>
    <t>мужские</t>
  </si>
  <si>
    <t>дата, день недели, 24-формат</t>
  </si>
  <si>
    <t>8681668512238</t>
  </si>
  <si>
    <t>LC07986.370</t>
  </si>
  <si>
    <t>LC07986.380</t>
  </si>
  <si>
    <t>8681668512276</t>
  </si>
  <si>
    <t>LC07986.390</t>
  </si>
  <si>
    <t>8681668534452</t>
  </si>
  <si>
    <t>LC08050.354</t>
  </si>
  <si>
    <t>LC08066.077</t>
  </si>
  <si>
    <t>LC08066.651</t>
  </si>
  <si>
    <t>черный, красный</t>
  </si>
  <si>
    <t>LC08203.120</t>
  </si>
  <si>
    <t>LC08203.170</t>
  </si>
  <si>
    <t>LC08203.220</t>
  </si>
  <si>
    <t>LC08203.300</t>
  </si>
  <si>
    <t>LC08203.320</t>
  </si>
  <si>
    <t>LC08226.120</t>
  </si>
  <si>
    <t>LC08226.170</t>
  </si>
  <si>
    <t>LC08226.320</t>
  </si>
  <si>
    <t>LC08227.330</t>
  </si>
  <si>
    <t>LC08227.350</t>
  </si>
  <si>
    <t>LC08227.360</t>
  </si>
  <si>
    <t>LC08227.390</t>
  </si>
  <si>
    <t>LC08228.300</t>
  </si>
  <si>
    <t>LC08228.330</t>
  </si>
  <si>
    <t>LC08228.350</t>
  </si>
  <si>
    <t>LC08228.370</t>
  </si>
  <si>
    <t>LC08228.390</t>
  </si>
  <si>
    <t>LC08229.330</t>
  </si>
  <si>
    <t>LC08229.340</t>
  </si>
  <si>
    <t>LC08229.370</t>
  </si>
  <si>
    <t>LC08229.390</t>
  </si>
  <si>
    <t>LC08231.350</t>
  </si>
  <si>
    <t>LC08231.370</t>
  </si>
  <si>
    <t>LC08231.390</t>
  </si>
  <si>
    <t>LC08232.120</t>
  </si>
  <si>
    <t>LC08232.170</t>
  </si>
  <si>
    <t>LC08232.220</t>
  </si>
  <si>
    <t>LC08232.320</t>
  </si>
  <si>
    <t>LC08234.330</t>
  </si>
  <si>
    <t>LC08234.350</t>
  </si>
  <si>
    <t>LC08234.390</t>
  </si>
  <si>
    <t>LC08237.301</t>
  </si>
  <si>
    <t>LC08237.361</t>
  </si>
  <si>
    <t>LC08237.399</t>
  </si>
  <si>
    <t>LC08237.433</t>
  </si>
  <si>
    <t>LC08238.351</t>
  </si>
  <si>
    <t>дата, день недели, 24-формат дуал</t>
  </si>
  <si>
    <t>LC08238.472</t>
  </si>
  <si>
    <t>LC08245.399</t>
  </si>
  <si>
    <t>LC08261.351</t>
  </si>
  <si>
    <t>LC08261.362</t>
  </si>
  <si>
    <t>LC08262.270</t>
  </si>
  <si>
    <t>LC08262.350</t>
  </si>
  <si>
    <t>LC08262.360</t>
  </si>
  <si>
    <t>LC08262.380</t>
  </si>
  <si>
    <t>LC08263.060</t>
  </si>
  <si>
    <t>LC08263.330</t>
  </si>
  <si>
    <t>LC08263.350</t>
  </si>
  <si>
    <t>LC08264.351</t>
  </si>
  <si>
    <t>точки</t>
  </si>
  <si>
    <t>LC08264.399</t>
  </si>
  <si>
    <t>LC08264.451</t>
  </si>
  <si>
    <t>Великобритания</t>
  </si>
  <si>
    <t>LC07493.652</t>
  </si>
  <si>
    <t>черный, серый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</si>
</sst>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7"/>
  <sheetViews>
    <sheetView tabSelected="1" topLeftCell="Q1" workbookViewId="0">
      <selection activeCell="A9" sqref="A9"/>
    </sheetView>
  </sheetViews>
  <sheetFormatPr defaultRowHeight="14.4" x14ac:dyDescent="0.3"/>
  <cols>
    <col min="1" max="1" width="12" bestFit="1" customWidth="1"/>
    <col min="2" max="2" width="11.5546875" bestFit="1" customWidth="1"/>
    <col min="3" max="3" width="23" customWidth="1"/>
    <col min="4" max="4" width="10.33203125" customWidth="1"/>
    <col min="5" max="5" width="40" customWidth="1"/>
    <col min="6" max="6" width="9.33203125" customWidth="1"/>
    <col min="7" max="7" width="23.5546875" customWidth="1"/>
    <col min="8" max="8" width="20.44140625" customWidth="1"/>
    <col min="9" max="9" width="16.77734375" customWidth="1"/>
    <col min="10" max="10" width="23.5546875" customWidth="1"/>
    <col min="11" max="11" width="12.6640625" customWidth="1"/>
    <col min="12" max="12" width="16.44140625" customWidth="1"/>
    <col min="13" max="13" width="14" customWidth="1"/>
    <col min="14" max="14" width="30.109375" customWidth="1"/>
    <col min="15" max="15" width="35.44140625" customWidth="1"/>
    <col min="16" max="16" width="12.21875" customWidth="1"/>
    <col min="17" max="17" width="25.33203125" customWidth="1"/>
    <col min="18" max="18" width="24.33203125" customWidth="1"/>
    <col min="19" max="19" width="6.21875" customWidth="1"/>
    <col min="20" max="20" width="15.77734375" customWidth="1"/>
    <col min="21" max="21" width="11.21875" customWidth="1"/>
    <col min="22" max="22" width="20.33203125" customWidth="1"/>
    <col min="23" max="23" width="11.77734375" customWidth="1"/>
    <col min="24" max="24" width="13.21875" bestFit="1" customWidth="1"/>
    <col min="25" max="25" width="13.77734375" customWidth="1"/>
    <col min="26" max="26" width="28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1" x14ac:dyDescent="0.3">
      <c r="A2" t="s">
        <v>170</v>
      </c>
      <c r="B2" t="s">
        <v>171</v>
      </c>
      <c r="C2" t="s">
        <v>301</v>
      </c>
      <c r="D2" t="s">
        <v>28</v>
      </c>
      <c r="E2" t="str">
        <f t="shared" ref="E2:E33" si="0">CONCATENATE(F2," ",B2," ",H2)</f>
        <v>мужской LC07210.339 серебристый</v>
      </c>
      <c r="F2" t="s">
        <v>84</v>
      </c>
      <c r="G2" t="s">
        <v>95</v>
      </c>
      <c r="H2" t="s">
        <v>51</v>
      </c>
      <c r="I2">
        <v>50</v>
      </c>
      <c r="J2" t="s">
        <v>88</v>
      </c>
      <c r="K2" t="s">
        <v>34</v>
      </c>
      <c r="L2" t="s">
        <v>46</v>
      </c>
      <c r="M2" t="s">
        <v>172</v>
      </c>
      <c r="N2" t="s">
        <v>37</v>
      </c>
      <c r="O2" t="s">
        <v>173</v>
      </c>
      <c r="P2" t="s">
        <v>38</v>
      </c>
      <c r="Q2" t="s">
        <v>174</v>
      </c>
      <c r="R2" t="s">
        <v>39</v>
      </c>
      <c r="T2" t="s">
        <v>36</v>
      </c>
      <c r="U2" t="s">
        <v>36</v>
      </c>
      <c r="V2" t="s">
        <v>40</v>
      </c>
      <c r="W2" t="s">
        <v>156</v>
      </c>
      <c r="X2">
        <v>2</v>
      </c>
      <c r="Y2" s="2">
        <v>12089</v>
      </c>
      <c r="Z2" s="2">
        <v>13297.900000000001</v>
      </c>
      <c r="AA2">
        <v>43000</v>
      </c>
      <c r="AE2" s="1"/>
    </row>
    <row r="3" spans="1:31" x14ac:dyDescent="0.3">
      <c r="A3" t="s">
        <v>175</v>
      </c>
      <c r="B3" t="s">
        <v>176</v>
      </c>
      <c r="C3" t="s">
        <v>301</v>
      </c>
      <c r="D3" t="s">
        <v>28</v>
      </c>
      <c r="E3" t="str">
        <f t="shared" si="0"/>
        <v>мужской LC07215.350 черный</v>
      </c>
      <c r="F3" t="s">
        <v>84</v>
      </c>
      <c r="G3" t="s">
        <v>51</v>
      </c>
      <c r="H3" t="s">
        <v>100</v>
      </c>
      <c r="I3">
        <v>43</v>
      </c>
      <c r="J3" t="s">
        <v>88</v>
      </c>
      <c r="K3" t="s">
        <v>34</v>
      </c>
      <c r="L3" t="s">
        <v>46</v>
      </c>
      <c r="M3" t="s">
        <v>36</v>
      </c>
      <c r="N3" t="s">
        <v>37</v>
      </c>
      <c r="O3" t="s">
        <v>106</v>
      </c>
      <c r="P3" t="s">
        <v>38</v>
      </c>
      <c r="Q3" t="s">
        <v>39</v>
      </c>
      <c r="R3" t="s">
        <v>39</v>
      </c>
      <c r="T3" t="s">
        <v>36</v>
      </c>
      <c r="U3" t="s">
        <v>36</v>
      </c>
      <c r="V3" t="s">
        <v>40</v>
      </c>
      <c r="W3" t="s">
        <v>156</v>
      </c>
      <c r="X3">
        <v>2</v>
      </c>
      <c r="Y3" s="2">
        <v>9636</v>
      </c>
      <c r="Z3" s="2">
        <v>10599.6</v>
      </c>
      <c r="AA3">
        <v>35000</v>
      </c>
      <c r="AE3" s="1"/>
    </row>
    <row r="4" spans="1:31" x14ac:dyDescent="0.3">
      <c r="A4" t="s">
        <v>177</v>
      </c>
      <c r="B4" t="s">
        <v>178</v>
      </c>
      <c r="C4" t="s">
        <v>301</v>
      </c>
      <c r="D4" t="s">
        <v>28</v>
      </c>
      <c r="E4" t="str">
        <f t="shared" si="0"/>
        <v>мужской LC07215.390 фиолетовый</v>
      </c>
      <c r="F4" t="s">
        <v>84</v>
      </c>
      <c r="G4" t="s">
        <v>51</v>
      </c>
      <c r="H4" t="s">
        <v>179</v>
      </c>
      <c r="I4">
        <v>43</v>
      </c>
      <c r="J4" t="s">
        <v>88</v>
      </c>
      <c r="K4" t="s">
        <v>34</v>
      </c>
      <c r="L4" t="s">
        <v>46</v>
      </c>
      <c r="M4" t="s">
        <v>36</v>
      </c>
      <c r="N4" t="s">
        <v>37</v>
      </c>
      <c r="O4" t="s">
        <v>106</v>
      </c>
      <c r="P4" t="s">
        <v>38</v>
      </c>
      <c r="Q4" t="s">
        <v>39</v>
      </c>
      <c r="R4" t="s">
        <v>39</v>
      </c>
      <c r="T4" t="s">
        <v>36</v>
      </c>
      <c r="U4" t="s">
        <v>36</v>
      </c>
      <c r="V4" t="s">
        <v>40</v>
      </c>
      <c r="W4" t="s">
        <v>156</v>
      </c>
      <c r="X4">
        <v>2</v>
      </c>
      <c r="Y4" s="2">
        <v>9636</v>
      </c>
      <c r="Z4" s="2">
        <v>10599.6</v>
      </c>
      <c r="AA4">
        <v>35000</v>
      </c>
      <c r="AE4" s="1"/>
    </row>
    <row r="5" spans="1:31" x14ac:dyDescent="0.3">
      <c r="A5">
        <v>8681668642591</v>
      </c>
      <c r="B5" t="s">
        <v>180</v>
      </c>
      <c r="C5" t="s">
        <v>301</v>
      </c>
      <c r="D5" t="s">
        <v>28</v>
      </c>
      <c r="E5" t="str">
        <f t="shared" si="0"/>
        <v>женский LC07478.120 белый</v>
      </c>
      <c r="F5" t="s">
        <v>29</v>
      </c>
      <c r="G5" t="s">
        <v>181</v>
      </c>
      <c r="H5" t="s">
        <v>75</v>
      </c>
      <c r="I5">
        <v>35</v>
      </c>
      <c r="J5" t="s">
        <v>33</v>
      </c>
      <c r="K5" t="s">
        <v>34</v>
      </c>
      <c r="L5" t="s">
        <v>46</v>
      </c>
      <c r="M5" t="s">
        <v>36</v>
      </c>
      <c r="N5" t="s">
        <v>37</v>
      </c>
      <c r="O5" t="s">
        <v>36</v>
      </c>
      <c r="P5" t="s">
        <v>38</v>
      </c>
      <c r="Q5" t="s">
        <v>39</v>
      </c>
      <c r="R5" t="s">
        <v>39</v>
      </c>
      <c r="T5" t="s">
        <v>36</v>
      </c>
      <c r="U5" t="s">
        <v>36</v>
      </c>
      <c r="V5" t="s">
        <v>40</v>
      </c>
      <c r="W5" t="s">
        <v>158</v>
      </c>
      <c r="X5">
        <v>2</v>
      </c>
      <c r="Y5" s="2">
        <v>12089</v>
      </c>
      <c r="Z5" s="2">
        <v>13297.900000000001</v>
      </c>
      <c r="AA5">
        <v>43000</v>
      </c>
      <c r="AE5" s="1"/>
    </row>
    <row r="6" spans="1:31" x14ac:dyDescent="0.3">
      <c r="A6" t="s">
        <v>182</v>
      </c>
      <c r="B6" t="s">
        <v>183</v>
      </c>
      <c r="C6" t="s">
        <v>301</v>
      </c>
      <c r="D6" t="s">
        <v>28</v>
      </c>
      <c r="E6" t="str">
        <f t="shared" si="0"/>
        <v>женский LC07478.220 белый</v>
      </c>
      <c r="F6" t="s">
        <v>29</v>
      </c>
      <c r="G6" t="s">
        <v>184</v>
      </c>
      <c r="H6" t="s">
        <v>75</v>
      </c>
      <c r="I6">
        <v>35</v>
      </c>
      <c r="J6" t="s">
        <v>33</v>
      </c>
      <c r="K6" t="s">
        <v>34</v>
      </c>
      <c r="L6" t="s">
        <v>46</v>
      </c>
      <c r="M6" t="s">
        <v>36</v>
      </c>
      <c r="N6" t="s">
        <v>37</v>
      </c>
      <c r="O6" t="s">
        <v>36</v>
      </c>
      <c r="P6" t="s">
        <v>38</v>
      </c>
      <c r="Q6" t="s">
        <v>39</v>
      </c>
      <c r="R6" t="s">
        <v>39</v>
      </c>
      <c r="T6" t="s">
        <v>36</v>
      </c>
      <c r="U6" t="s">
        <v>36</v>
      </c>
      <c r="V6" t="s">
        <v>40</v>
      </c>
      <c r="W6" t="s">
        <v>158</v>
      </c>
      <c r="X6">
        <v>2</v>
      </c>
      <c r="Y6" s="2">
        <v>12089</v>
      </c>
      <c r="Z6" s="2">
        <v>13297.900000000001</v>
      </c>
      <c r="AA6">
        <v>43000</v>
      </c>
      <c r="AE6" s="1"/>
    </row>
    <row r="7" spans="1:31" x14ac:dyDescent="0.3">
      <c r="A7" s="3">
        <v>8681668393165</v>
      </c>
      <c r="B7" t="s">
        <v>163</v>
      </c>
      <c r="C7" t="s">
        <v>301</v>
      </c>
      <c r="D7" t="s">
        <v>28</v>
      </c>
      <c r="E7" t="str">
        <f t="shared" si="0"/>
        <v>мужской LC07493.099 синий</v>
      </c>
      <c r="F7" t="s">
        <v>84</v>
      </c>
      <c r="G7" t="s">
        <v>95</v>
      </c>
      <c r="H7" t="s">
        <v>95</v>
      </c>
      <c r="I7">
        <v>50</v>
      </c>
      <c r="J7" t="s">
        <v>88</v>
      </c>
      <c r="K7" t="s">
        <v>34</v>
      </c>
      <c r="L7" t="s">
        <v>46</v>
      </c>
      <c r="M7" t="s">
        <v>89</v>
      </c>
      <c r="N7" t="s">
        <v>155</v>
      </c>
      <c r="O7" t="s">
        <v>162</v>
      </c>
      <c r="P7" t="s">
        <v>38</v>
      </c>
      <c r="Q7" t="s">
        <v>91</v>
      </c>
      <c r="R7" t="s">
        <v>39</v>
      </c>
      <c r="T7" t="s">
        <v>36</v>
      </c>
      <c r="U7" t="s">
        <v>36</v>
      </c>
      <c r="V7" t="s">
        <v>40</v>
      </c>
      <c r="W7" t="s">
        <v>156</v>
      </c>
      <c r="X7">
        <v>3</v>
      </c>
      <c r="Y7" s="2">
        <v>12435.5</v>
      </c>
      <c r="Z7" s="2">
        <v>13679.050000000001</v>
      </c>
      <c r="AA7">
        <v>35000</v>
      </c>
      <c r="AE7" s="1"/>
    </row>
    <row r="8" spans="1:31" x14ac:dyDescent="0.3">
      <c r="A8" s="3">
        <v>8681668393158</v>
      </c>
      <c r="B8" t="s">
        <v>160</v>
      </c>
      <c r="C8" t="s">
        <v>301</v>
      </c>
      <c r="D8" t="s">
        <v>28</v>
      </c>
      <c r="E8" t="str">
        <f t="shared" si="0"/>
        <v>мужской LC07493.651 черный</v>
      </c>
      <c r="F8" t="s">
        <v>84</v>
      </c>
      <c r="G8" t="s">
        <v>161</v>
      </c>
      <c r="H8" t="s">
        <v>100</v>
      </c>
      <c r="I8">
        <v>50</v>
      </c>
      <c r="J8" t="s">
        <v>88</v>
      </c>
      <c r="K8" t="s">
        <v>34</v>
      </c>
      <c r="L8" t="s">
        <v>46</v>
      </c>
      <c r="M8" t="s">
        <v>89</v>
      </c>
      <c r="N8" t="s">
        <v>155</v>
      </c>
      <c r="O8" t="s">
        <v>162</v>
      </c>
      <c r="P8" t="s">
        <v>38</v>
      </c>
      <c r="Q8" t="s">
        <v>91</v>
      </c>
      <c r="R8" t="s">
        <v>39</v>
      </c>
      <c r="T8" t="s">
        <v>36</v>
      </c>
      <c r="U8" t="s">
        <v>36</v>
      </c>
      <c r="V8" t="s">
        <v>40</v>
      </c>
      <c r="W8" t="s">
        <v>156</v>
      </c>
      <c r="X8">
        <v>1</v>
      </c>
      <c r="Y8" s="2">
        <v>12435.5</v>
      </c>
      <c r="Z8" s="2">
        <v>13679.050000000001</v>
      </c>
      <c r="AA8">
        <v>35000</v>
      </c>
      <c r="AE8" s="1"/>
    </row>
    <row r="9" spans="1:31" x14ac:dyDescent="0.3">
      <c r="A9" s="3">
        <v>8681668393172</v>
      </c>
      <c r="B9" t="s">
        <v>302</v>
      </c>
      <c r="C9" t="s">
        <v>301</v>
      </c>
      <c r="D9" t="s">
        <v>28</v>
      </c>
      <c r="E9" t="str">
        <f t="shared" ref="E9" si="1">CONCATENATE(F9," ",B9," ",H9)</f>
        <v>мужской LC07493.652 черный</v>
      </c>
      <c r="F9" t="s">
        <v>84</v>
      </c>
      <c r="G9" t="s">
        <v>303</v>
      </c>
      <c r="H9" t="s">
        <v>100</v>
      </c>
      <c r="I9">
        <v>50</v>
      </c>
      <c r="J9" t="s">
        <v>88</v>
      </c>
      <c r="K9" t="s">
        <v>34</v>
      </c>
      <c r="L9" t="s">
        <v>46</v>
      </c>
      <c r="M9" t="s">
        <v>89</v>
      </c>
      <c r="N9" t="s">
        <v>155</v>
      </c>
      <c r="O9" t="s">
        <v>162</v>
      </c>
      <c r="P9" t="s">
        <v>38</v>
      </c>
      <c r="Q9" t="s">
        <v>91</v>
      </c>
      <c r="R9" t="s">
        <v>39</v>
      </c>
      <c r="T9" t="s">
        <v>36</v>
      </c>
      <c r="U9" t="s">
        <v>36</v>
      </c>
      <c r="V9" t="s">
        <v>40</v>
      </c>
      <c r="W9" t="s">
        <v>156</v>
      </c>
      <c r="X9">
        <v>1</v>
      </c>
      <c r="Y9" s="2">
        <v>12435.5</v>
      </c>
      <c r="Z9" s="2">
        <v>13679.050000000001</v>
      </c>
      <c r="AA9">
        <v>35000</v>
      </c>
      <c r="AE9" s="1"/>
    </row>
    <row r="10" spans="1:31" x14ac:dyDescent="0.3">
      <c r="A10">
        <v>8681668450882</v>
      </c>
      <c r="B10" t="s">
        <v>154</v>
      </c>
      <c r="C10" t="s">
        <v>301</v>
      </c>
      <c r="D10" t="s">
        <v>28</v>
      </c>
      <c r="E10" t="str">
        <f t="shared" si="0"/>
        <v>женский LC07814.117 зеленый</v>
      </c>
      <c r="F10" t="s">
        <v>29</v>
      </c>
      <c r="G10" t="s">
        <v>73</v>
      </c>
      <c r="H10" t="s">
        <v>73</v>
      </c>
      <c r="I10">
        <v>20</v>
      </c>
      <c r="J10" t="s">
        <v>33</v>
      </c>
      <c r="K10" t="s">
        <v>34</v>
      </c>
      <c r="L10" t="s">
        <v>35</v>
      </c>
      <c r="M10" t="s">
        <v>36</v>
      </c>
      <c r="N10" t="s">
        <v>155</v>
      </c>
      <c r="O10" t="s">
        <v>36</v>
      </c>
      <c r="P10" t="s">
        <v>38</v>
      </c>
      <c r="Q10" t="s">
        <v>91</v>
      </c>
      <c r="R10" t="s">
        <v>39</v>
      </c>
      <c r="T10" t="s">
        <v>36</v>
      </c>
      <c r="U10" t="s">
        <v>36</v>
      </c>
      <c r="V10" t="s">
        <v>40</v>
      </c>
      <c r="W10" t="s">
        <v>156</v>
      </c>
      <c r="X10">
        <v>2</v>
      </c>
      <c r="Y10" s="2">
        <v>8002.5</v>
      </c>
      <c r="Z10" s="2">
        <v>8802.75</v>
      </c>
      <c r="AA10">
        <v>25000</v>
      </c>
      <c r="AE10" s="1"/>
    </row>
    <row r="11" spans="1:31" x14ac:dyDescent="0.3">
      <c r="A11" t="s">
        <v>185</v>
      </c>
      <c r="B11" t="s">
        <v>186</v>
      </c>
      <c r="C11" t="s">
        <v>301</v>
      </c>
      <c r="D11" t="s">
        <v>28</v>
      </c>
      <c r="E11" t="str">
        <f t="shared" si="0"/>
        <v>женский LC07815.120 белый</v>
      </c>
      <c r="F11" t="s">
        <v>29</v>
      </c>
      <c r="G11" t="s">
        <v>181</v>
      </c>
      <c r="H11" t="s">
        <v>75</v>
      </c>
      <c r="I11">
        <v>23</v>
      </c>
      <c r="J11" t="s">
        <v>33</v>
      </c>
      <c r="K11" t="s">
        <v>34</v>
      </c>
      <c r="L11" t="s">
        <v>35</v>
      </c>
      <c r="M11" t="s">
        <v>36</v>
      </c>
      <c r="N11" t="s">
        <v>37</v>
      </c>
      <c r="O11" t="s">
        <v>36</v>
      </c>
      <c r="P11" t="s">
        <v>38</v>
      </c>
      <c r="Q11" t="s">
        <v>39</v>
      </c>
      <c r="R11" t="s">
        <v>39</v>
      </c>
      <c r="T11" t="s">
        <v>36</v>
      </c>
      <c r="U11" t="s">
        <v>36</v>
      </c>
      <c r="V11" t="s">
        <v>40</v>
      </c>
      <c r="W11" t="s">
        <v>156</v>
      </c>
      <c r="X11">
        <v>2</v>
      </c>
      <c r="Y11" s="2">
        <v>10455.5</v>
      </c>
      <c r="Z11" s="2">
        <v>11501.050000000001</v>
      </c>
      <c r="AA11">
        <v>38000</v>
      </c>
      <c r="AE11" s="1"/>
    </row>
    <row r="12" spans="1:31" x14ac:dyDescent="0.3">
      <c r="A12" t="s">
        <v>187</v>
      </c>
      <c r="B12" t="s">
        <v>188</v>
      </c>
      <c r="C12" t="s">
        <v>301</v>
      </c>
      <c r="D12" t="s">
        <v>28</v>
      </c>
      <c r="E12" t="str">
        <f t="shared" si="0"/>
        <v>женский LC07815.170 зеленый</v>
      </c>
      <c r="F12" t="s">
        <v>29</v>
      </c>
      <c r="G12" t="s">
        <v>181</v>
      </c>
      <c r="H12" t="s">
        <v>73</v>
      </c>
      <c r="I12">
        <v>23</v>
      </c>
      <c r="J12" t="s">
        <v>33</v>
      </c>
      <c r="K12" t="s">
        <v>34</v>
      </c>
      <c r="L12" t="s">
        <v>35</v>
      </c>
      <c r="M12" t="s">
        <v>36</v>
      </c>
      <c r="N12" t="s">
        <v>37</v>
      </c>
      <c r="O12" t="s">
        <v>36</v>
      </c>
      <c r="P12" t="s">
        <v>38</v>
      </c>
      <c r="Q12" t="s">
        <v>39</v>
      </c>
      <c r="R12" t="s">
        <v>39</v>
      </c>
      <c r="T12" t="s">
        <v>36</v>
      </c>
      <c r="U12" t="s">
        <v>36</v>
      </c>
      <c r="V12" t="s">
        <v>40</v>
      </c>
      <c r="W12" t="s">
        <v>156</v>
      </c>
      <c r="X12">
        <v>1</v>
      </c>
      <c r="Y12" s="2">
        <v>10455.5</v>
      </c>
      <c r="Z12" s="2">
        <v>11501.050000000001</v>
      </c>
      <c r="AA12">
        <v>38000</v>
      </c>
      <c r="AE12" s="1"/>
    </row>
    <row r="13" spans="1:31" x14ac:dyDescent="0.3">
      <c r="A13" t="s">
        <v>189</v>
      </c>
      <c r="B13" t="s">
        <v>190</v>
      </c>
      <c r="C13" t="s">
        <v>301</v>
      </c>
      <c r="D13" t="s">
        <v>28</v>
      </c>
      <c r="E13" t="str">
        <f t="shared" si="0"/>
        <v>женский LC07815.320 белый</v>
      </c>
      <c r="F13" t="s">
        <v>29</v>
      </c>
      <c r="G13" t="s">
        <v>51</v>
      </c>
      <c r="H13" t="s">
        <v>75</v>
      </c>
      <c r="I13">
        <v>23</v>
      </c>
      <c r="J13" t="s">
        <v>33</v>
      </c>
      <c r="K13" t="s">
        <v>34</v>
      </c>
      <c r="L13" t="s">
        <v>35</v>
      </c>
      <c r="M13" t="s">
        <v>36</v>
      </c>
      <c r="N13" t="s">
        <v>37</v>
      </c>
      <c r="O13" t="s">
        <v>36</v>
      </c>
      <c r="P13" t="s">
        <v>38</v>
      </c>
      <c r="Q13" t="s">
        <v>39</v>
      </c>
      <c r="R13" t="s">
        <v>39</v>
      </c>
      <c r="T13" t="s">
        <v>36</v>
      </c>
      <c r="U13" t="s">
        <v>36</v>
      </c>
      <c r="V13" t="s">
        <v>40</v>
      </c>
      <c r="W13" t="s">
        <v>156</v>
      </c>
      <c r="X13">
        <v>2</v>
      </c>
      <c r="Y13" s="2">
        <v>8002.5</v>
      </c>
      <c r="Z13" s="2">
        <v>8802.75</v>
      </c>
      <c r="AA13">
        <v>30000</v>
      </c>
      <c r="AE13" s="1"/>
    </row>
    <row r="14" spans="1:31" x14ac:dyDescent="0.3">
      <c r="A14">
        <v>8681668450448</v>
      </c>
      <c r="B14" t="s">
        <v>69</v>
      </c>
      <c r="C14" t="s">
        <v>301</v>
      </c>
      <c r="D14" t="s">
        <v>28</v>
      </c>
      <c r="E14" t="str">
        <f t="shared" si="0"/>
        <v>женский LC07818.130 серебристый</v>
      </c>
      <c r="F14" t="s">
        <v>29</v>
      </c>
      <c r="G14" t="s">
        <v>42</v>
      </c>
      <c r="H14" t="s">
        <v>51</v>
      </c>
      <c r="I14" t="s">
        <v>56</v>
      </c>
      <c r="J14" t="s">
        <v>33</v>
      </c>
      <c r="K14" t="s">
        <v>34</v>
      </c>
      <c r="L14" t="s">
        <v>46</v>
      </c>
      <c r="M14" t="s">
        <v>36</v>
      </c>
      <c r="N14" t="s">
        <v>37</v>
      </c>
      <c r="O14" t="s">
        <v>36</v>
      </c>
      <c r="P14" t="s">
        <v>38</v>
      </c>
      <c r="Q14" t="s">
        <v>39</v>
      </c>
      <c r="R14" t="s">
        <v>39</v>
      </c>
      <c r="S14">
        <v>80</v>
      </c>
      <c r="T14" t="s">
        <v>36</v>
      </c>
      <c r="U14" t="s">
        <v>36</v>
      </c>
      <c r="V14" t="s">
        <v>40</v>
      </c>
      <c r="X14">
        <v>2</v>
      </c>
      <c r="Y14" s="2">
        <v>12089</v>
      </c>
      <c r="Z14" s="2">
        <v>13297.900000000001</v>
      </c>
      <c r="AA14">
        <v>43000</v>
      </c>
      <c r="AE14" s="1"/>
    </row>
    <row r="15" spans="1:31" x14ac:dyDescent="0.3">
      <c r="A15">
        <v>8681668450424</v>
      </c>
      <c r="B15" t="s">
        <v>68</v>
      </c>
      <c r="C15" t="s">
        <v>301</v>
      </c>
      <c r="D15" t="s">
        <v>28</v>
      </c>
      <c r="E15" t="str">
        <f t="shared" si="0"/>
        <v>женский LC07818.220 перламутровый</v>
      </c>
      <c r="F15" t="s">
        <v>29</v>
      </c>
      <c r="G15" t="s">
        <v>64</v>
      </c>
      <c r="H15" t="s">
        <v>45</v>
      </c>
      <c r="I15" t="s">
        <v>56</v>
      </c>
      <c r="J15" t="s">
        <v>33</v>
      </c>
      <c r="K15" t="s">
        <v>34</v>
      </c>
      <c r="L15" t="s">
        <v>46</v>
      </c>
      <c r="M15" t="s">
        <v>36</v>
      </c>
      <c r="N15" t="s">
        <v>37</v>
      </c>
      <c r="O15" t="s">
        <v>36</v>
      </c>
      <c r="P15" t="s">
        <v>38</v>
      </c>
      <c r="Q15" t="s">
        <v>39</v>
      </c>
      <c r="R15" t="s">
        <v>39</v>
      </c>
      <c r="S15">
        <v>80</v>
      </c>
      <c r="T15" t="s">
        <v>36</v>
      </c>
      <c r="U15" t="s">
        <v>36</v>
      </c>
      <c r="V15" t="s">
        <v>40</v>
      </c>
      <c r="X15">
        <v>1</v>
      </c>
      <c r="Y15" s="2">
        <v>12089</v>
      </c>
      <c r="Z15" s="2">
        <v>13297.900000000001</v>
      </c>
      <c r="AA15">
        <v>43000</v>
      </c>
      <c r="AE15" s="1"/>
    </row>
    <row r="16" spans="1:31" x14ac:dyDescent="0.3">
      <c r="A16">
        <v>8681668450400</v>
      </c>
      <c r="B16" t="s">
        <v>70</v>
      </c>
      <c r="C16" t="s">
        <v>301</v>
      </c>
      <c r="D16" t="s">
        <v>28</v>
      </c>
      <c r="E16" t="str">
        <f t="shared" si="0"/>
        <v>женский LC07818.320 перламутровый</v>
      </c>
      <c r="F16" t="s">
        <v>29</v>
      </c>
      <c r="G16" t="s">
        <v>51</v>
      </c>
      <c r="H16" t="s">
        <v>45</v>
      </c>
      <c r="I16" t="s">
        <v>56</v>
      </c>
      <c r="J16" t="s">
        <v>33</v>
      </c>
      <c r="K16" t="s">
        <v>34</v>
      </c>
      <c r="L16" t="s">
        <v>46</v>
      </c>
      <c r="M16" t="s">
        <v>36</v>
      </c>
      <c r="N16" t="s">
        <v>37</v>
      </c>
      <c r="O16" t="s">
        <v>36</v>
      </c>
      <c r="P16" t="s">
        <v>38</v>
      </c>
      <c r="Q16" t="s">
        <v>39</v>
      </c>
      <c r="R16" t="s">
        <v>39</v>
      </c>
      <c r="S16">
        <v>80</v>
      </c>
      <c r="T16" t="s">
        <v>36</v>
      </c>
      <c r="U16" t="s">
        <v>36</v>
      </c>
      <c r="V16" t="s">
        <v>40</v>
      </c>
      <c r="X16">
        <v>1</v>
      </c>
      <c r="Y16" s="2">
        <v>12089</v>
      </c>
      <c r="Z16" s="2">
        <v>13297.900000000001</v>
      </c>
      <c r="AA16">
        <v>43000</v>
      </c>
      <c r="AE16" s="1"/>
    </row>
    <row r="17" spans="1:31" x14ac:dyDescent="0.3">
      <c r="A17" t="s">
        <v>191</v>
      </c>
      <c r="B17" t="s">
        <v>192</v>
      </c>
      <c r="C17" t="s">
        <v>301</v>
      </c>
      <c r="D17" t="s">
        <v>28</v>
      </c>
      <c r="E17" t="str">
        <f t="shared" si="0"/>
        <v>мужской LC07905.360 черный</v>
      </c>
      <c r="F17" t="s">
        <v>84</v>
      </c>
      <c r="G17" t="s">
        <v>51</v>
      </c>
      <c r="H17" t="s">
        <v>100</v>
      </c>
      <c r="I17">
        <v>44</v>
      </c>
      <c r="J17" t="s">
        <v>88</v>
      </c>
      <c r="K17" t="s">
        <v>34</v>
      </c>
      <c r="L17" t="s">
        <v>46</v>
      </c>
      <c r="M17" t="s">
        <v>36</v>
      </c>
      <c r="N17" t="s">
        <v>37</v>
      </c>
      <c r="O17" t="s">
        <v>193</v>
      </c>
      <c r="P17" t="s">
        <v>141</v>
      </c>
      <c r="Q17" t="s">
        <v>39</v>
      </c>
      <c r="R17" t="s">
        <v>39</v>
      </c>
      <c r="T17" t="s">
        <v>36</v>
      </c>
      <c r="U17" t="s">
        <v>36</v>
      </c>
      <c r="V17" t="s">
        <v>142</v>
      </c>
      <c r="W17" t="s">
        <v>156</v>
      </c>
      <c r="X17">
        <v>2</v>
      </c>
      <c r="Y17" s="2">
        <v>24337.5</v>
      </c>
      <c r="Z17" s="2">
        <v>26771.250000000004</v>
      </c>
      <c r="AA17">
        <v>81000</v>
      </c>
      <c r="AE17" s="1"/>
    </row>
    <row r="18" spans="1:31" x14ac:dyDescent="0.3">
      <c r="A18" t="s">
        <v>194</v>
      </c>
      <c r="B18" t="s">
        <v>195</v>
      </c>
      <c r="C18" t="s">
        <v>301</v>
      </c>
      <c r="D18" t="s">
        <v>28</v>
      </c>
      <c r="E18" t="str">
        <f t="shared" si="0"/>
        <v>женский LC07940.130 серебристый</v>
      </c>
      <c r="F18" t="s">
        <v>29</v>
      </c>
      <c r="G18" t="s">
        <v>181</v>
      </c>
      <c r="H18" t="s">
        <v>51</v>
      </c>
      <c r="I18">
        <v>30</v>
      </c>
      <c r="J18" t="s">
        <v>33</v>
      </c>
      <c r="K18" t="s">
        <v>34</v>
      </c>
      <c r="L18" t="s">
        <v>196</v>
      </c>
      <c r="M18" t="s">
        <v>36</v>
      </c>
      <c r="N18" t="s">
        <v>37</v>
      </c>
      <c r="O18" t="s">
        <v>36</v>
      </c>
      <c r="P18" t="s">
        <v>38</v>
      </c>
      <c r="Q18" t="s">
        <v>39</v>
      </c>
      <c r="R18" t="s">
        <v>39</v>
      </c>
      <c r="T18" t="s">
        <v>36</v>
      </c>
      <c r="U18" t="s">
        <v>36</v>
      </c>
      <c r="V18" t="s">
        <v>40</v>
      </c>
      <c r="W18" t="s">
        <v>197</v>
      </c>
      <c r="X18">
        <v>1</v>
      </c>
      <c r="Y18" s="2">
        <v>12089</v>
      </c>
      <c r="Z18" s="2">
        <v>13297.900000000001</v>
      </c>
      <c r="AA18">
        <v>43000</v>
      </c>
      <c r="AE18" s="1"/>
    </row>
    <row r="19" spans="1:31" x14ac:dyDescent="0.3">
      <c r="A19" t="s">
        <v>198</v>
      </c>
      <c r="B19" t="s">
        <v>199</v>
      </c>
      <c r="C19" t="s">
        <v>301</v>
      </c>
      <c r="D19" t="s">
        <v>28</v>
      </c>
      <c r="E19" t="str">
        <f t="shared" si="0"/>
        <v>женский LC07940.170 зеленый</v>
      </c>
      <c r="F19" t="s">
        <v>29</v>
      </c>
      <c r="G19" t="s">
        <v>181</v>
      </c>
      <c r="H19" t="s">
        <v>73</v>
      </c>
      <c r="I19">
        <v>30</v>
      </c>
      <c r="J19" t="s">
        <v>33</v>
      </c>
      <c r="K19" t="s">
        <v>34</v>
      </c>
      <c r="L19" t="s">
        <v>196</v>
      </c>
      <c r="M19" t="s">
        <v>36</v>
      </c>
      <c r="N19" t="s">
        <v>37</v>
      </c>
      <c r="O19" t="s">
        <v>36</v>
      </c>
      <c r="P19" t="s">
        <v>38</v>
      </c>
      <c r="Q19" t="s">
        <v>39</v>
      </c>
      <c r="R19" t="s">
        <v>39</v>
      </c>
      <c r="T19" t="s">
        <v>36</v>
      </c>
      <c r="U19" t="s">
        <v>36</v>
      </c>
      <c r="V19" t="s">
        <v>40</v>
      </c>
      <c r="W19" t="s">
        <v>197</v>
      </c>
      <c r="X19">
        <v>1</v>
      </c>
      <c r="Y19" s="2">
        <v>12089</v>
      </c>
      <c r="Z19" s="2">
        <v>13297.900000000001</v>
      </c>
      <c r="AA19">
        <v>43000</v>
      </c>
      <c r="AE19" s="1"/>
    </row>
    <row r="20" spans="1:31" x14ac:dyDescent="0.3">
      <c r="A20">
        <v>8681668642720</v>
      </c>
      <c r="B20" t="s">
        <v>200</v>
      </c>
      <c r="C20" t="s">
        <v>301</v>
      </c>
      <c r="D20" t="s">
        <v>28</v>
      </c>
      <c r="E20" t="str">
        <f t="shared" si="0"/>
        <v>женский LC07940.230 серебристый</v>
      </c>
      <c r="F20" t="s">
        <v>29</v>
      </c>
      <c r="G20" t="s">
        <v>184</v>
      </c>
      <c r="H20" t="s">
        <v>51</v>
      </c>
      <c r="I20">
        <v>30</v>
      </c>
      <c r="J20" t="s">
        <v>33</v>
      </c>
      <c r="K20" t="s">
        <v>34</v>
      </c>
      <c r="L20" t="s">
        <v>196</v>
      </c>
      <c r="M20" t="s">
        <v>36</v>
      </c>
      <c r="N20" t="s">
        <v>37</v>
      </c>
      <c r="O20" t="s">
        <v>36</v>
      </c>
      <c r="P20" t="s">
        <v>38</v>
      </c>
      <c r="Q20" t="s">
        <v>39</v>
      </c>
      <c r="R20" t="s">
        <v>39</v>
      </c>
      <c r="T20" t="s">
        <v>36</v>
      </c>
      <c r="U20" t="s">
        <v>36</v>
      </c>
      <c r="V20" t="s">
        <v>40</v>
      </c>
      <c r="W20" t="s">
        <v>197</v>
      </c>
      <c r="X20">
        <v>1</v>
      </c>
      <c r="Y20" s="2">
        <v>12089</v>
      </c>
      <c r="Z20" s="2">
        <v>13297.900000000001</v>
      </c>
      <c r="AA20">
        <v>43000</v>
      </c>
      <c r="AE20" s="1"/>
    </row>
    <row r="21" spans="1:31" x14ac:dyDescent="0.3">
      <c r="A21" t="s">
        <v>201</v>
      </c>
      <c r="B21" t="s">
        <v>202</v>
      </c>
      <c r="C21" t="s">
        <v>301</v>
      </c>
      <c r="D21" t="s">
        <v>28</v>
      </c>
      <c r="E21" t="str">
        <f t="shared" si="0"/>
        <v>женский LC07940.330 серебристый</v>
      </c>
      <c r="F21" t="s">
        <v>29</v>
      </c>
      <c r="G21" t="s">
        <v>51</v>
      </c>
      <c r="H21" t="s">
        <v>51</v>
      </c>
      <c r="I21">
        <v>30</v>
      </c>
      <c r="J21" t="s">
        <v>33</v>
      </c>
      <c r="K21" t="s">
        <v>34</v>
      </c>
      <c r="L21" t="s">
        <v>196</v>
      </c>
      <c r="M21" t="s">
        <v>36</v>
      </c>
      <c r="N21" t="s">
        <v>37</v>
      </c>
      <c r="O21" t="s">
        <v>36</v>
      </c>
      <c r="P21" t="s">
        <v>38</v>
      </c>
      <c r="Q21" t="s">
        <v>39</v>
      </c>
      <c r="R21" t="s">
        <v>39</v>
      </c>
      <c r="T21" t="s">
        <v>36</v>
      </c>
      <c r="U21" t="s">
        <v>36</v>
      </c>
      <c r="V21" t="s">
        <v>40</v>
      </c>
      <c r="W21" t="s">
        <v>197</v>
      </c>
      <c r="X21">
        <v>1</v>
      </c>
      <c r="Y21" s="2">
        <v>10455.5</v>
      </c>
      <c r="Z21" s="2">
        <v>11501.050000000001</v>
      </c>
      <c r="AA21">
        <v>38000</v>
      </c>
      <c r="AE21" s="1"/>
    </row>
    <row r="22" spans="1:31" x14ac:dyDescent="0.3">
      <c r="A22" t="s">
        <v>203</v>
      </c>
      <c r="B22" t="s">
        <v>204</v>
      </c>
      <c r="C22" t="s">
        <v>301</v>
      </c>
      <c r="D22" t="s">
        <v>28</v>
      </c>
      <c r="E22" t="str">
        <f t="shared" si="0"/>
        <v>мужской LC07943.351 черный</v>
      </c>
      <c r="F22" t="s">
        <v>84</v>
      </c>
      <c r="G22" t="s">
        <v>100</v>
      </c>
      <c r="H22" t="s">
        <v>100</v>
      </c>
      <c r="I22">
        <v>50</v>
      </c>
      <c r="J22" t="s">
        <v>88</v>
      </c>
      <c r="K22" t="s">
        <v>34</v>
      </c>
      <c r="L22" t="s">
        <v>46</v>
      </c>
      <c r="M22" t="s">
        <v>89</v>
      </c>
      <c r="N22" t="s">
        <v>37</v>
      </c>
      <c r="O22" t="s">
        <v>205</v>
      </c>
      <c r="P22" t="s">
        <v>38</v>
      </c>
      <c r="Q22" t="s">
        <v>91</v>
      </c>
      <c r="R22" t="s">
        <v>39</v>
      </c>
      <c r="T22" t="s">
        <v>36</v>
      </c>
      <c r="U22" t="s">
        <v>36</v>
      </c>
      <c r="V22" t="s">
        <v>40</v>
      </c>
      <c r="W22" t="s">
        <v>156</v>
      </c>
      <c r="X22">
        <v>2</v>
      </c>
      <c r="Y22" s="2">
        <v>10455.5</v>
      </c>
      <c r="Z22" s="2">
        <v>11501.050000000001</v>
      </c>
      <c r="AA22">
        <v>38000</v>
      </c>
      <c r="AE22" s="1"/>
    </row>
    <row r="23" spans="1:31" x14ac:dyDescent="0.3">
      <c r="A23">
        <v>8681668642997</v>
      </c>
      <c r="B23" t="s">
        <v>206</v>
      </c>
      <c r="C23" t="s">
        <v>301</v>
      </c>
      <c r="D23" t="s">
        <v>28</v>
      </c>
      <c r="E23" t="str">
        <f t="shared" si="0"/>
        <v>мужской LC07943.361 серебристый</v>
      </c>
      <c r="F23" t="s">
        <v>84</v>
      </c>
      <c r="G23" t="s">
        <v>100</v>
      </c>
      <c r="H23" t="s">
        <v>51</v>
      </c>
      <c r="I23">
        <v>50</v>
      </c>
      <c r="J23" t="s">
        <v>88</v>
      </c>
      <c r="K23" t="s">
        <v>34</v>
      </c>
      <c r="L23" t="s">
        <v>46</v>
      </c>
      <c r="M23" t="s">
        <v>89</v>
      </c>
      <c r="N23" t="s">
        <v>37</v>
      </c>
      <c r="O23" t="s">
        <v>205</v>
      </c>
      <c r="P23" t="s">
        <v>38</v>
      </c>
      <c r="Q23" t="s">
        <v>91</v>
      </c>
      <c r="R23" t="s">
        <v>39</v>
      </c>
      <c r="T23" t="s">
        <v>36</v>
      </c>
      <c r="U23" t="s">
        <v>36</v>
      </c>
      <c r="V23" t="s">
        <v>40</v>
      </c>
      <c r="W23" t="s">
        <v>156</v>
      </c>
      <c r="X23">
        <v>2</v>
      </c>
      <c r="Y23" s="2">
        <v>10455.5</v>
      </c>
      <c r="Z23" s="2">
        <v>11501.050000000001</v>
      </c>
      <c r="AA23">
        <v>38000</v>
      </c>
      <c r="AE23" s="1"/>
    </row>
    <row r="24" spans="1:31" x14ac:dyDescent="0.3">
      <c r="A24" t="s">
        <v>207</v>
      </c>
      <c r="B24" t="s">
        <v>208</v>
      </c>
      <c r="C24" t="s">
        <v>301</v>
      </c>
      <c r="D24" t="s">
        <v>28</v>
      </c>
      <c r="E24" t="str">
        <f t="shared" si="0"/>
        <v>мужской LC07943.374 зеленый</v>
      </c>
      <c r="F24" t="s">
        <v>84</v>
      </c>
      <c r="G24" t="s">
        <v>93</v>
      </c>
      <c r="H24" t="s">
        <v>73</v>
      </c>
      <c r="I24">
        <v>50</v>
      </c>
      <c r="J24" t="s">
        <v>88</v>
      </c>
      <c r="K24" t="s">
        <v>34</v>
      </c>
      <c r="L24" t="s">
        <v>46</v>
      </c>
      <c r="M24" t="s">
        <v>89</v>
      </c>
      <c r="N24" t="s">
        <v>37</v>
      </c>
      <c r="O24" t="s">
        <v>205</v>
      </c>
      <c r="P24" t="s">
        <v>38</v>
      </c>
      <c r="Q24" t="s">
        <v>91</v>
      </c>
      <c r="R24" t="s">
        <v>39</v>
      </c>
      <c r="T24" t="s">
        <v>36</v>
      </c>
      <c r="U24" t="s">
        <v>36</v>
      </c>
      <c r="V24" t="s">
        <v>40</v>
      </c>
      <c r="W24" t="s">
        <v>156</v>
      </c>
      <c r="X24">
        <v>1</v>
      </c>
      <c r="Y24" s="2">
        <v>10455.5</v>
      </c>
      <c r="Z24" s="2">
        <v>11501.050000000001</v>
      </c>
      <c r="AA24">
        <v>38000</v>
      </c>
      <c r="AE24" s="1"/>
    </row>
    <row r="25" spans="1:31" x14ac:dyDescent="0.3">
      <c r="A25" t="s">
        <v>209</v>
      </c>
      <c r="B25" t="s">
        <v>210</v>
      </c>
      <c r="C25" t="s">
        <v>301</v>
      </c>
      <c r="D25" t="s">
        <v>28</v>
      </c>
      <c r="E25" t="str">
        <f t="shared" si="0"/>
        <v>мужской LC07943.399 синий</v>
      </c>
      <c r="F25" t="s">
        <v>84</v>
      </c>
      <c r="G25" t="s">
        <v>95</v>
      </c>
      <c r="H25" t="s">
        <v>95</v>
      </c>
      <c r="I25">
        <v>50</v>
      </c>
      <c r="J25" t="s">
        <v>88</v>
      </c>
      <c r="K25" t="s">
        <v>34</v>
      </c>
      <c r="L25" t="s">
        <v>46</v>
      </c>
      <c r="M25" t="s">
        <v>89</v>
      </c>
      <c r="N25" t="s">
        <v>37</v>
      </c>
      <c r="O25" t="s">
        <v>205</v>
      </c>
      <c r="P25" t="s">
        <v>38</v>
      </c>
      <c r="Q25" t="s">
        <v>91</v>
      </c>
      <c r="R25" t="s">
        <v>39</v>
      </c>
      <c r="T25" t="s">
        <v>36</v>
      </c>
      <c r="U25" t="s">
        <v>36</v>
      </c>
      <c r="V25" t="s">
        <v>40</v>
      </c>
      <c r="W25" t="s">
        <v>156</v>
      </c>
      <c r="X25">
        <v>2</v>
      </c>
      <c r="Y25" s="2">
        <v>10455.5</v>
      </c>
      <c r="Z25" s="2">
        <v>11501.050000000001</v>
      </c>
      <c r="AA25">
        <v>38000</v>
      </c>
      <c r="AE25" s="1"/>
    </row>
    <row r="26" spans="1:31" x14ac:dyDescent="0.3">
      <c r="A26" t="s">
        <v>211</v>
      </c>
      <c r="B26" t="s">
        <v>212</v>
      </c>
      <c r="C26" t="s">
        <v>301</v>
      </c>
      <c r="D26" t="s">
        <v>28</v>
      </c>
      <c r="E26" t="str">
        <f t="shared" si="0"/>
        <v>мужской LC07973.351 черный</v>
      </c>
      <c r="F26" t="s">
        <v>84</v>
      </c>
      <c r="G26" t="s">
        <v>100</v>
      </c>
      <c r="H26" t="s">
        <v>100</v>
      </c>
      <c r="I26">
        <v>44</v>
      </c>
      <c r="J26" t="s">
        <v>88</v>
      </c>
      <c r="K26" t="s">
        <v>34</v>
      </c>
      <c r="L26" t="s">
        <v>35</v>
      </c>
      <c r="M26" t="s">
        <v>36</v>
      </c>
      <c r="N26" t="s">
        <v>37</v>
      </c>
      <c r="O26" t="s">
        <v>193</v>
      </c>
      <c r="P26" t="s">
        <v>141</v>
      </c>
      <c r="Q26" t="s">
        <v>132</v>
      </c>
      <c r="R26" t="s">
        <v>39</v>
      </c>
      <c r="T26" t="s">
        <v>36</v>
      </c>
      <c r="U26" t="s">
        <v>36</v>
      </c>
      <c r="V26" t="s">
        <v>142</v>
      </c>
      <c r="W26" t="s">
        <v>156</v>
      </c>
      <c r="X26">
        <v>1</v>
      </c>
      <c r="Y26" s="2">
        <v>11269.5</v>
      </c>
      <c r="Z26" s="2">
        <v>12396.45</v>
      </c>
      <c r="AA26">
        <v>40000</v>
      </c>
      <c r="AE26" s="1"/>
    </row>
    <row r="27" spans="1:31" x14ac:dyDescent="0.3">
      <c r="A27" t="s">
        <v>213</v>
      </c>
      <c r="B27" t="s">
        <v>214</v>
      </c>
      <c r="C27" t="s">
        <v>301</v>
      </c>
      <c r="D27" t="s">
        <v>28</v>
      </c>
      <c r="E27" t="str">
        <f t="shared" si="0"/>
        <v>мужской LC07973.377 зеленый</v>
      </c>
      <c r="F27" t="s">
        <v>84</v>
      </c>
      <c r="G27" t="s">
        <v>73</v>
      </c>
      <c r="H27" t="s">
        <v>73</v>
      </c>
      <c r="I27">
        <v>44</v>
      </c>
      <c r="J27" t="s">
        <v>88</v>
      </c>
      <c r="K27" t="s">
        <v>34</v>
      </c>
      <c r="L27" t="s">
        <v>35</v>
      </c>
      <c r="M27" t="s">
        <v>36</v>
      </c>
      <c r="N27" t="s">
        <v>37</v>
      </c>
      <c r="O27" t="s">
        <v>193</v>
      </c>
      <c r="P27" t="s">
        <v>141</v>
      </c>
      <c r="Q27" t="s">
        <v>132</v>
      </c>
      <c r="R27" t="s">
        <v>39</v>
      </c>
      <c r="T27" t="s">
        <v>36</v>
      </c>
      <c r="U27" t="s">
        <v>36</v>
      </c>
      <c r="V27" t="s">
        <v>142</v>
      </c>
      <c r="W27" t="s">
        <v>156</v>
      </c>
      <c r="X27">
        <v>2</v>
      </c>
      <c r="Y27" s="2">
        <v>11269.5</v>
      </c>
      <c r="Z27" s="2">
        <v>12396.45</v>
      </c>
      <c r="AA27">
        <v>40000</v>
      </c>
      <c r="AE27" s="1"/>
    </row>
    <row r="28" spans="1:31" x14ac:dyDescent="0.3">
      <c r="A28" t="s">
        <v>215</v>
      </c>
      <c r="B28" t="s">
        <v>216</v>
      </c>
      <c r="C28" t="s">
        <v>301</v>
      </c>
      <c r="D28" t="s">
        <v>28</v>
      </c>
      <c r="E28" t="str">
        <f t="shared" si="0"/>
        <v>мужской LC07973.399 синий</v>
      </c>
      <c r="F28" t="s">
        <v>84</v>
      </c>
      <c r="G28" t="s">
        <v>95</v>
      </c>
      <c r="H28" t="s">
        <v>95</v>
      </c>
      <c r="I28">
        <v>44</v>
      </c>
      <c r="J28" t="s">
        <v>88</v>
      </c>
      <c r="K28" t="s">
        <v>34</v>
      </c>
      <c r="L28" t="s">
        <v>35</v>
      </c>
      <c r="M28" t="s">
        <v>36</v>
      </c>
      <c r="N28" t="s">
        <v>37</v>
      </c>
      <c r="O28" t="s">
        <v>193</v>
      </c>
      <c r="P28" t="s">
        <v>141</v>
      </c>
      <c r="Q28" t="s">
        <v>132</v>
      </c>
      <c r="R28" t="s">
        <v>39</v>
      </c>
      <c r="T28" t="s">
        <v>36</v>
      </c>
      <c r="U28" t="s">
        <v>36</v>
      </c>
      <c r="V28" t="s">
        <v>142</v>
      </c>
      <c r="W28" t="s">
        <v>156</v>
      </c>
      <c r="X28">
        <v>2</v>
      </c>
      <c r="Y28" s="2">
        <v>11269.5</v>
      </c>
      <c r="Z28" s="2">
        <v>12396.45</v>
      </c>
      <c r="AA28">
        <v>40000</v>
      </c>
      <c r="AE28" s="1"/>
    </row>
    <row r="29" spans="1:31" x14ac:dyDescent="0.3">
      <c r="A29">
        <v>8681668642898</v>
      </c>
      <c r="B29" t="s">
        <v>217</v>
      </c>
      <c r="C29" t="s">
        <v>301</v>
      </c>
      <c r="D29" t="s">
        <v>28</v>
      </c>
      <c r="E29" t="str">
        <f t="shared" si="0"/>
        <v>мужской LC07973.651 голубой</v>
      </c>
      <c r="F29" t="s">
        <v>84</v>
      </c>
      <c r="G29" t="s">
        <v>100</v>
      </c>
      <c r="H29" t="s">
        <v>31</v>
      </c>
      <c r="I29">
        <v>44</v>
      </c>
      <c r="J29" t="s">
        <v>88</v>
      </c>
      <c r="K29" t="s">
        <v>34</v>
      </c>
      <c r="L29" t="s">
        <v>35</v>
      </c>
      <c r="M29" t="s">
        <v>36</v>
      </c>
      <c r="N29" t="s">
        <v>37</v>
      </c>
      <c r="O29" t="s">
        <v>193</v>
      </c>
      <c r="P29" t="s">
        <v>141</v>
      </c>
      <c r="Q29" t="s">
        <v>132</v>
      </c>
      <c r="R29" t="s">
        <v>39</v>
      </c>
      <c r="T29" t="s">
        <v>36</v>
      </c>
      <c r="U29" t="s">
        <v>36</v>
      </c>
      <c r="V29" t="s">
        <v>142</v>
      </c>
      <c r="W29" t="s">
        <v>156</v>
      </c>
      <c r="X29">
        <v>2</v>
      </c>
      <c r="Y29" s="2">
        <v>12903</v>
      </c>
      <c r="Z29" s="2">
        <v>14193.300000000001</v>
      </c>
      <c r="AA29">
        <v>46000</v>
      </c>
      <c r="AE29" s="1"/>
    </row>
    <row r="30" spans="1:31" x14ac:dyDescent="0.3">
      <c r="A30" t="s">
        <v>218</v>
      </c>
      <c r="B30" t="s">
        <v>219</v>
      </c>
      <c r="C30" t="s">
        <v>301</v>
      </c>
      <c r="D30" t="s">
        <v>28</v>
      </c>
      <c r="E30" t="str">
        <f t="shared" si="0"/>
        <v>мужской LC07974.350 черный</v>
      </c>
      <c r="F30" t="s">
        <v>84</v>
      </c>
      <c r="G30" t="s">
        <v>51</v>
      </c>
      <c r="H30" t="s">
        <v>100</v>
      </c>
      <c r="I30">
        <v>44</v>
      </c>
      <c r="J30" t="s">
        <v>88</v>
      </c>
      <c r="K30" t="s">
        <v>34</v>
      </c>
      <c r="L30" t="s">
        <v>35</v>
      </c>
      <c r="M30" t="s">
        <v>36</v>
      </c>
      <c r="N30" t="s">
        <v>37</v>
      </c>
      <c r="O30" t="s">
        <v>193</v>
      </c>
      <c r="P30" t="s">
        <v>141</v>
      </c>
      <c r="Q30" t="s">
        <v>39</v>
      </c>
      <c r="R30" t="s">
        <v>39</v>
      </c>
      <c r="T30" t="s">
        <v>36</v>
      </c>
      <c r="U30" t="s">
        <v>36</v>
      </c>
      <c r="V30" t="s">
        <v>142</v>
      </c>
      <c r="W30" t="s">
        <v>156</v>
      </c>
      <c r="X30">
        <v>2</v>
      </c>
      <c r="Y30" s="2">
        <v>12903</v>
      </c>
      <c r="Z30" s="2">
        <v>14193.300000000001</v>
      </c>
      <c r="AA30">
        <v>46000</v>
      </c>
      <c r="AE30" s="1"/>
    </row>
    <row r="31" spans="1:31" x14ac:dyDescent="0.3">
      <c r="A31" t="s">
        <v>220</v>
      </c>
      <c r="B31" t="s">
        <v>221</v>
      </c>
      <c r="C31" t="s">
        <v>301</v>
      </c>
      <c r="D31" t="s">
        <v>28</v>
      </c>
      <c r="E31" t="str">
        <f t="shared" si="0"/>
        <v>мужской LC07974.390 синий</v>
      </c>
      <c r="F31" t="s">
        <v>84</v>
      </c>
      <c r="G31" t="s">
        <v>51</v>
      </c>
      <c r="H31" t="s">
        <v>95</v>
      </c>
      <c r="I31">
        <v>44</v>
      </c>
      <c r="J31" t="s">
        <v>88</v>
      </c>
      <c r="K31" t="s">
        <v>34</v>
      </c>
      <c r="L31" t="s">
        <v>35</v>
      </c>
      <c r="M31" t="s">
        <v>36</v>
      </c>
      <c r="N31" t="s">
        <v>37</v>
      </c>
      <c r="O31" t="s">
        <v>193</v>
      </c>
      <c r="P31" t="s">
        <v>141</v>
      </c>
      <c r="Q31" t="s">
        <v>39</v>
      </c>
      <c r="R31" t="s">
        <v>39</v>
      </c>
      <c r="T31" t="s">
        <v>36</v>
      </c>
      <c r="U31" t="s">
        <v>36</v>
      </c>
      <c r="V31" t="s">
        <v>142</v>
      </c>
      <c r="W31" t="s">
        <v>156</v>
      </c>
      <c r="X31">
        <v>2</v>
      </c>
      <c r="Y31" s="2">
        <v>12903</v>
      </c>
      <c r="Z31" s="2">
        <v>14193.300000000001</v>
      </c>
      <c r="AA31">
        <v>46000</v>
      </c>
      <c r="AE31" s="1"/>
    </row>
    <row r="32" spans="1:31" x14ac:dyDescent="0.3">
      <c r="A32">
        <v>8681668511934</v>
      </c>
      <c r="B32" t="s">
        <v>146</v>
      </c>
      <c r="C32" t="s">
        <v>301</v>
      </c>
      <c r="D32" t="s">
        <v>28</v>
      </c>
      <c r="E32" t="str">
        <f t="shared" si="0"/>
        <v>мужской LC07977.370 минтол</v>
      </c>
      <c r="F32" t="s">
        <v>84</v>
      </c>
      <c r="G32" t="s">
        <v>51</v>
      </c>
      <c r="H32" t="s">
        <v>147</v>
      </c>
      <c r="I32" t="s">
        <v>112</v>
      </c>
      <c r="J32" t="s">
        <v>88</v>
      </c>
      <c r="K32" t="s">
        <v>34</v>
      </c>
      <c r="L32" t="s">
        <v>46</v>
      </c>
      <c r="M32" t="s">
        <v>36</v>
      </c>
      <c r="N32" t="s">
        <v>37</v>
      </c>
      <c r="O32" t="s">
        <v>36</v>
      </c>
      <c r="P32" t="s">
        <v>141</v>
      </c>
      <c r="Q32" t="s">
        <v>39</v>
      </c>
      <c r="R32" t="s">
        <v>39</v>
      </c>
      <c r="S32">
        <v>166</v>
      </c>
      <c r="T32" t="s">
        <v>36</v>
      </c>
      <c r="U32" t="s">
        <v>36</v>
      </c>
      <c r="V32" t="s">
        <v>142</v>
      </c>
      <c r="X32">
        <v>1</v>
      </c>
      <c r="Y32" s="2">
        <v>22703.999999999996</v>
      </c>
      <c r="Z32" s="2">
        <v>24974.399999999998</v>
      </c>
      <c r="AA32">
        <v>77000</v>
      </c>
      <c r="AE32" s="1"/>
    </row>
    <row r="33" spans="1:31" x14ac:dyDescent="0.3">
      <c r="A33">
        <v>8681668511903</v>
      </c>
      <c r="B33" t="s">
        <v>145</v>
      </c>
      <c r="C33" t="s">
        <v>301</v>
      </c>
      <c r="D33" t="s">
        <v>28</v>
      </c>
      <c r="E33" t="str">
        <f t="shared" si="0"/>
        <v>мужской LC07977.390 синий</v>
      </c>
      <c r="F33" t="s">
        <v>84</v>
      </c>
      <c r="G33" t="s">
        <v>51</v>
      </c>
      <c r="H33" t="s">
        <v>95</v>
      </c>
      <c r="I33" t="s">
        <v>112</v>
      </c>
      <c r="J33" t="s">
        <v>88</v>
      </c>
      <c r="K33" t="s">
        <v>34</v>
      </c>
      <c r="L33" t="s">
        <v>46</v>
      </c>
      <c r="M33" t="s">
        <v>36</v>
      </c>
      <c r="N33" t="s">
        <v>37</v>
      </c>
      <c r="O33" t="s">
        <v>36</v>
      </c>
      <c r="P33" t="s">
        <v>141</v>
      </c>
      <c r="Q33" t="s">
        <v>39</v>
      </c>
      <c r="R33" t="s">
        <v>39</v>
      </c>
      <c r="S33">
        <v>166</v>
      </c>
      <c r="T33" t="s">
        <v>36</v>
      </c>
      <c r="U33" t="s">
        <v>36</v>
      </c>
      <c r="V33" t="s">
        <v>142</v>
      </c>
      <c r="X33">
        <v>2</v>
      </c>
      <c r="Y33" s="2">
        <v>22703.999999999996</v>
      </c>
      <c r="Z33" s="2">
        <v>24974.399999999998</v>
      </c>
      <c r="AA33">
        <v>77000</v>
      </c>
      <c r="AE33" s="1"/>
    </row>
    <row r="34" spans="1:31" x14ac:dyDescent="0.3">
      <c r="A34" t="s">
        <v>222</v>
      </c>
      <c r="B34" t="s">
        <v>223</v>
      </c>
      <c r="C34" t="s">
        <v>301</v>
      </c>
      <c r="D34" t="s">
        <v>28</v>
      </c>
      <c r="E34" t="str">
        <f t="shared" ref="E34:E62" si="2">CONCATENATE(F34," ",B34," ",H34)</f>
        <v>мужской LC07978.351 черный</v>
      </c>
      <c r="F34" t="s">
        <v>84</v>
      </c>
      <c r="G34" t="s">
        <v>100</v>
      </c>
      <c r="H34" t="s">
        <v>100</v>
      </c>
      <c r="I34">
        <v>45</v>
      </c>
      <c r="J34" t="s">
        <v>88</v>
      </c>
      <c r="K34" t="s">
        <v>34</v>
      </c>
      <c r="L34" t="s">
        <v>46</v>
      </c>
      <c r="M34" t="s">
        <v>36</v>
      </c>
      <c r="N34" t="s">
        <v>37</v>
      </c>
      <c r="O34" t="s">
        <v>193</v>
      </c>
      <c r="P34" t="s">
        <v>141</v>
      </c>
      <c r="Q34" t="s">
        <v>91</v>
      </c>
      <c r="R34" t="s">
        <v>39</v>
      </c>
      <c r="T34" t="s">
        <v>36</v>
      </c>
      <c r="U34" t="s">
        <v>36</v>
      </c>
      <c r="V34" t="s">
        <v>142</v>
      </c>
      <c r="W34" t="s">
        <v>156</v>
      </c>
      <c r="X34">
        <v>2</v>
      </c>
      <c r="Y34" s="2">
        <v>22704</v>
      </c>
      <c r="Z34" s="2">
        <v>24974.400000000001</v>
      </c>
      <c r="AA34">
        <v>76000</v>
      </c>
      <c r="AE34" s="1"/>
    </row>
    <row r="35" spans="1:31" x14ac:dyDescent="0.3">
      <c r="A35" t="s">
        <v>224</v>
      </c>
      <c r="B35" t="s">
        <v>225</v>
      </c>
      <c r="C35" t="s">
        <v>301</v>
      </c>
      <c r="D35" t="s">
        <v>28</v>
      </c>
      <c r="E35" t="str">
        <f t="shared" si="2"/>
        <v>мужской LC07978.377 черный</v>
      </c>
      <c r="F35" t="s">
        <v>84</v>
      </c>
      <c r="G35" t="s">
        <v>73</v>
      </c>
      <c r="H35" t="s">
        <v>100</v>
      </c>
      <c r="I35">
        <v>45</v>
      </c>
      <c r="J35" t="s">
        <v>88</v>
      </c>
      <c r="K35" t="s">
        <v>34</v>
      </c>
      <c r="L35" t="s">
        <v>46</v>
      </c>
      <c r="M35" t="s">
        <v>36</v>
      </c>
      <c r="N35" t="s">
        <v>37</v>
      </c>
      <c r="O35" t="s">
        <v>193</v>
      </c>
      <c r="P35" t="s">
        <v>141</v>
      </c>
      <c r="Q35" t="s">
        <v>91</v>
      </c>
      <c r="R35" t="s">
        <v>39</v>
      </c>
      <c r="T35" t="s">
        <v>36</v>
      </c>
      <c r="U35" t="s">
        <v>36</v>
      </c>
      <c r="V35" t="s">
        <v>142</v>
      </c>
      <c r="W35" t="s">
        <v>156</v>
      </c>
      <c r="X35">
        <v>2</v>
      </c>
      <c r="Y35" s="2">
        <v>22704</v>
      </c>
      <c r="Z35" s="2">
        <v>24974.400000000001</v>
      </c>
      <c r="AA35">
        <v>76000</v>
      </c>
      <c r="AE35" s="1"/>
    </row>
    <row r="36" spans="1:31" x14ac:dyDescent="0.3">
      <c r="A36" t="s">
        <v>226</v>
      </c>
      <c r="B36" t="s">
        <v>227</v>
      </c>
      <c r="C36" t="s">
        <v>301</v>
      </c>
      <c r="D36" t="s">
        <v>28</v>
      </c>
      <c r="E36" t="str">
        <f t="shared" si="2"/>
        <v>мужской LC07978.399 синий</v>
      </c>
      <c r="F36" t="s">
        <v>84</v>
      </c>
      <c r="G36" t="s">
        <v>95</v>
      </c>
      <c r="H36" t="s">
        <v>95</v>
      </c>
      <c r="I36">
        <v>45</v>
      </c>
      <c r="J36" t="s">
        <v>88</v>
      </c>
      <c r="K36" t="s">
        <v>34</v>
      </c>
      <c r="L36" t="s">
        <v>46</v>
      </c>
      <c r="M36" t="s">
        <v>36</v>
      </c>
      <c r="N36" t="s">
        <v>37</v>
      </c>
      <c r="O36" t="s">
        <v>193</v>
      </c>
      <c r="P36" t="s">
        <v>141</v>
      </c>
      <c r="Q36" t="s">
        <v>91</v>
      </c>
      <c r="R36" t="s">
        <v>39</v>
      </c>
      <c r="T36" t="s">
        <v>36</v>
      </c>
      <c r="U36" t="s">
        <v>36</v>
      </c>
      <c r="V36" t="s">
        <v>142</v>
      </c>
      <c r="W36" t="s">
        <v>156</v>
      </c>
      <c r="X36">
        <v>2</v>
      </c>
      <c r="Y36" s="2">
        <v>22704</v>
      </c>
      <c r="Z36" s="2">
        <v>24974.400000000001</v>
      </c>
      <c r="AA36">
        <v>76000</v>
      </c>
      <c r="AE36" s="1"/>
    </row>
    <row r="37" spans="1:31" x14ac:dyDescent="0.3">
      <c r="A37" t="s">
        <v>228</v>
      </c>
      <c r="B37" t="s">
        <v>229</v>
      </c>
      <c r="C37" t="s">
        <v>301</v>
      </c>
      <c r="D37" t="s">
        <v>28</v>
      </c>
      <c r="E37" t="str">
        <f t="shared" si="2"/>
        <v>мужской LC07979.351 черный</v>
      </c>
      <c r="F37" t="s">
        <v>84</v>
      </c>
      <c r="G37" t="s">
        <v>100</v>
      </c>
      <c r="H37" t="s">
        <v>100</v>
      </c>
      <c r="I37">
        <v>48</v>
      </c>
      <c r="J37" t="s">
        <v>88</v>
      </c>
      <c r="K37" t="s">
        <v>34</v>
      </c>
      <c r="L37" t="s">
        <v>230</v>
      </c>
      <c r="M37" t="s">
        <v>36</v>
      </c>
      <c r="N37" t="s">
        <v>37</v>
      </c>
      <c r="O37" t="s">
        <v>193</v>
      </c>
      <c r="P37" t="s">
        <v>141</v>
      </c>
      <c r="Q37" t="s">
        <v>132</v>
      </c>
      <c r="R37" t="s">
        <v>39</v>
      </c>
      <c r="T37" t="s">
        <v>36</v>
      </c>
      <c r="U37" t="s">
        <v>36</v>
      </c>
      <c r="V37" t="s">
        <v>142</v>
      </c>
      <c r="W37" t="s">
        <v>156</v>
      </c>
      <c r="X37">
        <v>1</v>
      </c>
      <c r="Y37" s="2">
        <v>24337.5</v>
      </c>
      <c r="Z37" s="2">
        <v>26771.250000000004</v>
      </c>
      <c r="AA37">
        <v>81000</v>
      </c>
      <c r="AE37" s="1"/>
    </row>
    <row r="38" spans="1:31" x14ac:dyDescent="0.3">
      <c r="A38" t="s">
        <v>231</v>
      </c>
      <c r="B38" t="s">
        <v>232</v>
      </c>
      <c r="C38" t="s">
        <v>301</v>
      </c>
      <c r="D38" t="s">
        <v>28</v>
      </c>
      <c r="E38" t="str">
        <f t="shared" si="2"/>
        <v>мужской LC07979.377 зеленый</v>
      </c>
      <c r="F38" t="s">
        <v>84</v>
      </c>
      <c r="G38" t="s">
        <v>73</v>
      </c>
      <c r="H38" t="s">
        <v>73</v>
      </c>
      <c r="I38">
        <v>48</v>
      </c>
      <c r="J38" t="s">
        <v>88</v>
      </c>
      <c r="K38" t="s">
        <v>34</v>
      </c>
      <c r="L38" t="s">
        <v>230</v>
      </c>
      <c r="M38" t="s">
        <v>36</v>
      </c>
      <c r="N38" t="s">
        <v>37</v>
      </c>
      <c r="O38" t="s">
        <v>193</v>
      </c>
      <c r="P38" t="s">
        <v>141</v>
      </c>
      <c r="Q38" t="s">
        <v>132</v>
      </c>
      <c r="R38" t="s">
        <v>39</v>
      </c>
      <c r="T38" t="s">
        <v>36</v>
      </c>
      <c r="U38" t="s">
        <v>36</v>
      </c>
      <c r="V38" t="s">
        <v>142</v>
      </c>
      <c r="W38" t="s">
        <v>156</v>
      </c>
      <c r="X38">
        <v>2</v>
      </c>
      <c r="Y38" s="2">
        <v>24337.5</v>
      </c>
      <c r="Z38" s="2">
        <v>26771.250000000004</v>
      </c>
      <c r="AA38">
        <v>81000</v>
      </c>
      <c r="AE38" s="1"/>
    </row>
    <row r="39" spans="1:31" x14ac:dyDescent="0.3">
      <c r="A39" t="s">
        <v>233</v>
      </c>
      <c r="B39" t="s">
        <v>234</v>
      </c>
      <c r="C39" t="s">
        <v>301</v>
      </c>
      <c r="D39" t="s">
        <v>28</v>
      </c>
      <c r="E39" t="str">
        <f t="shared" si="2"/>
        <v>мужской LC07979.399 синий</v>
      </c>
      <c r="F39" t="s">
        <v>84</v>
      </c>
      <c r="G39" t="s">
        <v>95</v>
      </c>
      <c r="H39" t="s">
        <v>95</v>
      </c>
      <c r="I39">
        <v>48</v>
      </c>
      <c r="J39" t="s">
        <v>88</v>
      </c>
      <c r="K39" t="s">
        <v>34</v>
      </c>
      <c r="L39" t="s">
        <v>230</v>
      </c>
      <c r="M39" t="s">
        <v>36</v>
      </c>
      <c r="N39" t="s">
        <v>37</v>
      </c>
      <c r="O39" t="s">
        <v>193</v>
      </c>
      <c r="P39" t="s">
        <v>141</v>
      </c>
      <c r="Q39" t="s">
        <v>132</v>
      </c>
      <c r="R39" t="s">
        <v>39</v>
      </c>
      <c r="T39" t="s">
        <v>36</v>
      </c>
      <c r="U39" t="s">
        <v>36</v>
      </c>
      <c r="V39" t="s">
        <v>142</v>
      </c>
      <c r="W39" t="s">
        <v>156</v>
      </c>
      <c r="X39">
        <v>1</v>
      </c>
      <c r="Y39" s="2">
        <v>24337.5</v>
      </c>
      <c r="Z39" s="2">
        <v>26771.250000000004</v>
      </c>
      <c r="AA39">
        <v>81000</v>
      </c>
      <c r="AE39" s="1"/>
    </row>
    <row r="40" spans="1:31" x14ac:dyDescent="0.3">
      <c r="A40" t="s">
        <v>235</v>
      </c>
      <c r="B40" t="s">
        <v>236</v>
      </c>
      <c r="C40" t="s">
        <v>301</v>
      </c>
      <c r="D40" t="s">
        <v>28</v>
      </c>
      <c r="E40" t="str">
        <f t="shared" si="2"/>
        <v>мужские LC07986.350 черный</v>
      </c>
      <c r="F40" t="s">
        <v>237</v>
      </c>
      <c r="G40" t="s">
        <v>51</v>
      </c>
      <c r="H40" t="s">
        <v>100</v>
      </c>
      <c r="I40">
        <v>45</v>
      </c>
      <c r="J40" t="s">
        <v>88</v>
      </c>
      <c r="K40" t="s">
        <v>34</v>
      </c>
      <c r="L40" t="s">
        <v>46</v>
      </c>
      <c r="M40" t="s">
        <v>89</v>
      </c>
      <c r="N40" t="s">
        <v>37</v>
      </c>
      <c r="O40" t="s">
        <v>238</v>
      </c>
      <c r="P40" t="s">
        <v>38</v>
      </c>
      <c r="Q40" t="s">
        <v>39</v>
      </c>
      <c r="R40" t="s">
        <v>39</v>
      </c>
      <c r="T40" t="s">
        <v>36</v>
      </c>
      <c r="U40" t="s">
        <v>36</v>
      </c>
      <c r="V40" t="s">
        <v>40</v>
      </c>
      <c r="W40" t="s">
        <v>156</v>
      </c>
      <c r="X40">
        <v>2</v>
      </c>
      <c r="Y40" s="2">
        <v>12903</v>
      </c>
      <c r="Z40" s="2">
        <v>14193.300000000001</v>
      </c>
      <c r="AA40">
        <v>46000</v>
      </c>
      <c r="AE40" s="1"/>
    </row>
    <row r="41" spans="1:31" x14ac:dyDescent="0.3">
      <c r="A41" t="s">
        <v>239</v>
      </c>
      <c r="B41" t="s">
        <v>240</v>
      </c>
      <c r="C41" t="s">
        <v>301</v>
      </c>
      <c r="D41" t="s">
        <v>28</v>
      </c>
      <c r="E41" t="str">
        <f t="shared" si="2"/>
        <v>мужские LC07986.370 бирюза</v>
      </c>
      <c r="F41" t="s">
        <v>237</v>
      </c>
      <c r="G41" t="s">
        <v>51</v>
      </c>
      <c r="H41" t="s">
        <v>66</v>
      </c>
      <c r="I41">
        <v>45</v>
      </c>
      <c r="J41" t="s">
        <v>88</v>
      </c>
      <c r="K41" t="s">
        <v>34</v>
      </c>
      <c r="L41" t="s">
        <v>46</v>
      </c>
      <c r="M41" t="s">
        <v>89</v>
      </c>
      <c r="N41" t="s">
        <v>37</v>
      </c>
      <c r="O41" t="s">
        <v>238</v>
      </c>
      <c r="P41" t="s">
        <v>38</v>
      </c>
      <c r="Q41" t="s">
        <v>39</v>
      </c>
      <c r="R41" t="s">
        <v>39</v>
      </c>
      <c r="T41" t="s">
        <v>36</v>
      </c>
      <c r="U41" t="s">
        <v>36</v>
      </c>
      <c r="V41" t="s">
        <v>40</v>
      </c>
      <c r="W41" t="s">
        <v>156</v>
      </c>
      <c r="X41">
        <v>2</v>
      </c>
      <c r="Y41" s="2">
        <v>12903</v>
      </c>
      <c r="Z41" s="2">
        <v>14193.300000000001</v>
      </c>
      <c r="AA41">
        <v>46000</v>
      </c>
      <c r="AE41" s="1"/>
    </row>
    <row r="42" spans="1:31" x14ac:dyDescent="0.3">
      <c r="A42">
        <v>8681668642942</v>
      </c>
      <c r="B42" t="s">
        <v>241</v>
      </c>
      <c r="C42" t="s">
        <v>301</v>
      </c>
      <c r="D42" t="s">
        <v>28</v>
      </c>
      <c r="E42" t="str">
        <f t="shared" si="2"/>
        <v>мужские LC07986.380 хаки</v>
      </c>
      <c r="F42" t="s">
        <v>237</v>
      </c>
      <c r="G42" t="s">
        <v>51</v>
      </c>
      <c r="H42" t="s">
        <v>85</v>
      </c>
      <c r="I42">
        <v>45</v>
      </c>
      <c r="J42" t="s">
        <v>88</v>
      </c>
      <c r="K42" t="s">
        <v>34</v>
      </c>
      <c r="L42" t="s">
        <v>46</v>
      </c>
      <c r="M42" t="s">
        <v>89</v>
      </c>
      <c r="N42" t="s">
        <v>37</v>
      </c>
      <c r="O42" t="s">
        <v>238</v>
      </c>
      <c r="P42" t="s">
        <v>38</v>
      </c>
      <c r="Q42" t="s">
        <v>39</v>
      </c>
      <c r="R42" t="s">
        <v>39</v>
      </c>
      <c r="T42" t="s">
        <v>36</v>
      </c>
      <c r="U42" t="s">
        <v>36</v>
      </c>
      <c r="V42" t="s">
        <v>40</v>
      </c>
      <c r="W42" t="s">
        <v>156</v>
      </c>
      <c r="X42">
        <v>2</v>
      </c>
      <c r="Y42" s="2">
        <v>12903</v>
      </c>
      <c r="Z42" s="2">
        <v>14193.300000000001</v>
      </c>
      <c r="AA42">
        <v>46000</v>
      </c>
      <c r="AE42" s="1"/>
    </row>
    <row r="43" spans="1:31" x14ac:dyDescent="0.3">
      <c r="A43" t="s">
        <v>242</v>
      </c>
      <c r="B43" t="s">
        <v>243</v>
      </c>
      <c r="C43" t="s">
        <v>301</v>
      </c>
      <c r="D43" t="s">
        <v>28</v>
      </c>
      <c r="E43" t="str">
        <f t="shared" si="2"/>
        <v>мужские LC07986.390 синий</v>
      </c>
      <c r="F43" t="s">
        <v>237</v>
      </c>
      <c r="G43" t="s">
        <v>51</v>
      </c>
      <c r="H43" t="s">
        <v>95</v>
      </c>
      <c r="I43">
        <v>45</v>
      </c>
      <c r="J43" t="s">
        <v>88</v>
      </c>
      <c r="K43" t="s">
        <v>34</v>
      </c>
      <c r="L43" t="s">
        <v>46</v>
      </c>
      <c r="M43" t="s">
        <v>89</v>
      </c>
      <c r="N43" t="s">
        <v>37</v>
      </c>
      <c r="O43" t="s">
        <v>238</v>
      </c>
      <c r="P43" t="s">
        <v>38</v>
      </c>
      <c r="Q43" t="s">
        <v>39</v>
      </c>
      <c r="R43" t="s">
        <v>39</v>
      </c>
      <c r="T43" t="s">
        <v>36</v>
      </c>
      <c r="U43" t="s">
        <v>36</v>
      </c>
      <c r="V43" t="s">
        <v>40</v>
      </c>
      <c r="W43" t="s">
        <v>156</v>
      </c>
      <c r="X43">
        <v>2</v>
      </c>
      <c r="Y43" s="2">
        <v>12903</v>
      </c>
      <c r="Z43" s="2">
        <v>14193.300000000001</v>
      </c>
      <c r="AA43">
        <v>46000</v>
      </c>
      <c r="AE43" s="1"/>
    </row>
    <row r="44" spans="1:31" x14ac:dyDescent="0.3">
      <c r="A44">
        <v>8681668579828</v>
      </c>
      <c r="B44" t="s">
        <v>157</v>
      </c>
      <c r="C44" t="s">
        <v>301</v>
      </c>
      <c r="D44" t="s">
        <v>28</v>
      </c>
      <c r="E44" t="str">
        <f t="shared" si="2"/>
        <v>женский LC08025.399 синий</v>
      </c>
      <c r="F44" t="s">
        <v>29</v>
      </c>
      <c r="G44" t="s">
        <v>95</v>
      </c>
      <c r="H44" t="s">
        <v>95</v>
      </c>
      <c r="I44">
        <v>33</v>
      </c>
      <c r="J44" t="s">
        <v>33</v>
      </c>
      <c r="K44" t="s">
        <v>34</v>
      </c>
      <c r="L44" t="s">
        <v>46</v>
      </c>
      <c r="M44" t="s">
        <v>36</v>
      </c>
      <c r="N44" t="s">
        <v>155</v>
      </c>
      <c r="O44" t="s">
        <v>36</v>
      </c>
      <c r="P44" t="s">
        <v>38</v>
      </c>
      <c r="Q44" t="s">
        <v>91</v>
      </c>
      <c r="R44" t="s">
        <v>39</v>
      </c>
      <c r="T44" t="s">
        <v>36</v>
      </c>
      <c r="U44" t="s">
        <v>36</v>
      </c>
      <c r="V44" t="s">
        <v>40</v>
      </c>
      <c r="W44" t="s">
        <v>158</v>
      </c>
      <c r="X44">
        <v>1</v>
      </c>
      <c r="Y44" s="2">
        <v>7188.5</v>
      </c>
      <c r="Z44" s="2">
        <v>7907.35</v>
      </c>
      <c r="AA44">
        <v>25000</v>
      </c>
      <c r="AE44" s="1"/>
    </row>
    <row r="45" spans="1:31" x14ac:dyDescent="0.3">
      <c r="A45">
        <v>8681668579897</v>
      </c>
      <c r="B45" t="s">
        <v>159</v>
      </c>
      <c r="C45" t="s">
        <v>301</v>
      </c>
      <c r="D45" t="s">
        <v>28</v>
      </c>
      <c r="E45" t="str">
        <f t="shared" si="2"/>
        <v>женский LC08034.321 белый</v>
      </c>
      <c r="F45" t="s">
        <v>29</v>
      </c>
      <c r="G45" t="s">
        <v>100</v>
      </c>
      <c r="H45" t="s">
        <v>75</v>
      </c>
      <c r="I45">
        <v>38</v>
      </c>
      <c r="J45" t="s">
        <v>33</v>
      </c>
      <c r="K45" t="s">
        <v>34</v>
      </c>
      <c r="L45" t="s">
        <v>46</v>
      </c>
      <c r="M45" t="s">
        <v>36</v>
      </c>
      <c r="N45" t="s">
        <v>155</v>
      </c>
      <c r="O45" t="s">
        <v>36</v>
      </c>
      <c r="P45" t="s">
        <v>38</v>
      </c>
      <c r="Q45" t="s">
        <v>91</v>
      </c>
      <c r="R45" t="s">
        <v>39</v>
      </c>
      <c r="T45" t="s">
        <v>36</v>
      </c>
      <c r="U45" t="s">
        <v>36</v>
      </c>
      <c r="V45" t="s">
        <v>40</v>
      </c>
      <c r="W45" t="s">
        <v>158</v>
      </c>
      <c r="X45">
        <v>2</v>
      </c>
      <c r="Y45" s="2">
        <v>7188.5</v>
      </c>
      <c r="Z45" s="2">
        <v>7907.35</v>
      </c>
      <c r="AA45">
        <v>25000</v>
      </c>
      <c r="AE45" s="1"/>
    </row>
    <row r="46" spans="1:31" x14ac:dyDescent="0.3">
      <c r="A46">
        <v>8681668580084</v>
      </c>
      <c r="B46" t="s">
        <v>72</v>
      </c>
      <c r="C46" t="s">
        <v>301</v>
      </c>
      <c r="D46" t="s">
        <v>28</v>
      </c>
      <c r="E46" t="str">
        <f t="shared" si="2"/>
        <v>женский LC08041.170 зеленый</v>
      </c>
      <c r="F46" t="s">
        <v>29</v>
      </c>
      <c r="G46" t="s">
        <v>42</v>
      </c>
      <c r="H46" t="s">
        <v>73</v>
      </c>
      <c r="I46" t="s">
        <v>60</v>
      </c>
      <c r="J46" t="s">
        <v>33</v>
      </c>
      <c r="K46" t="s">
        <v>34</v>
      </c>
      <c r="L46" t="s">
        <v>46</v>
      </c>
      <c r="M46" t="s">
        <v>36</v>
      </c>
      <c r="N46" t="s">
        <v>37</v>
      </c>
      <c r="O46" t="s">
        <v>36</v>
      </c>
      <c r="P46" t="s">
        <v>38</v>
      </c>
      <c r="Q46" t="s">
        <v>39</v>
      </c>
      <c r="R46" t="s">
        <v>39</v>
      </c>
      <c r="S46">
        <v>70</v>
      </c>
      <c r="T46" t="s">
        <v>36</v>
      </c>
      <c r="U46" t="s">
        <v>36</v>
      </c>
      <c r="V46" t="s">
        <v>40</v>
      </c>
      <c r="X46">
        <v>2</v>
      </c>
      <c r="Y46" s="2">
        <v>11269.499999999996</v>
      </c>
      <c r="Z46" s="2">
        <v>12396.449999999997</v>
      </c>
      <c r="AA46">
        <v>41000</v>
      </c>
      <c r="AE46" s="1"/>
    </row>
    <row r="47" spans="1:31" x14ac:dyDescent="0.3">
      <c r="A47">
        <v>8681668580077</v>
      </c>
      <c r="B47" t="s">
        <v>71</v>
      </c>
      <c r="C47" t="s">
        <v>301</v>
      </c>
      <c r="D47" t="s">
        <v>28</v>
      </c>
      <c r="E47" t="str">
        <f t="shared" si="2"/>
        <v>женский LC08041.230 серебристый</v>
      </c>
      <c r="F47" t="s">
        <v>29</v>
      </c>
      <c r="G47" t="s">
        <v>64</v>
      </c>
      <c r="H47" t="s">
        <v>51</v>
      </c>
      <c r="I47" t="s">
        <v>60</v>
      </c>
      <c r="J47" t="s">
        <v>33</v>
      </c>
      <c r="K47" t="s">
        <v>34</v>
      </c>
      <c r="L47" t="s">
        <v>46</v>
      </c>
      <c r="M47" t="s">
        <v>36</v>
      </c>
      <c r="N47" t="s">
        <v>37</v>
      </c>
      <c r="O47" t="s">
        <v>36</v>
      </c>
      <c r="P47" t="s">
        <v>38</v>
      </c>
      <c r="Q47" t="s">
        <v>39</v>
      </c>
      <c r="R47" t="s">
        <v>39</v>
      </c>
      <c r="S47">
        <v>70</v>
      </c>
      <c r="T47" t="s">
        <v>36</v>
      </c>
      <c r="U47" t="s">
        <v>36</v>
      </c>
      <c r="V47" t="s">
        <v>40</v>
      </c>
      <c r="X47">
        <v>2</v>
      </c>
      <c r="Y47" s="2">
        <v>11269.499999999996</v>
      </c>
      <c r="Z47" s="2">
        <v>12396.449999999997</v>
      </c>
      <c r="AA47">
        <v>41000</v>
      </c>
      <c r="AE47" s="1"/>
    </row>
    <row r="48" spans="1:31" x14ac:dyDescent="0.3">
      <c r="A48" t="s">
        <v>244</v>
      </c>
      <c r="B48" t="s">
        <v>245</v>
      </c>
      <c r="C48" t="s">
        <v>301</v>
      </c>
      <c r="D48" t="s">
        <v>28</v>
      </c>
      <c r="E48" t="str">
        <f t="shared" si="2"/>
        <v>мужские LC08050.354 зеленый</v>
      </c>
      <c r="F48" t="s">
        <v>237</v>
      </c>
      <c r="G48" t="s">
        <v>93</v>
      </c>
      <c r="H48" t="s">
        <v>73</v>
      </c>
      <c r="I48">
        <v>42</v>
      </c>
      <c r="J48" t="s">
        <v>88</v>
      </c>
      <c r="K48" t="s">
        <v>34</v>
      </c>
      <c r="L48" t="s">
        <v>46</v>
      </c>
      <c r="M48" t="s">
        <v>36</v>
      </c>
      <c r="N48" t="s">
        <v>37</v>
      </c>
      <c r="O48" t="s">
        <v>36</v>
      </c>
      <c r="P48" t="s">
        <v>141</v>
      </c>
      <c r="Q48" t="s">
        <v>91</v>
      </c>
      <c r="R48" t="s">
        <v>39</v>
      </c>
      <c r="T48" t="s">
        <v>36</v>
      </c>
      <c r="U48" t="s">
        <v>36</v>
      </c>
      <c r="V48" t="s">
        <v>142</v>
      </c>
      <c r="W48" t="s">
        <v>156</v>
      </c>
      <c r="X48">
        <v>2</v>
      </c>
      <c r="Y48" s="2">
        <v>22704</v>
      </c>
      <c r="Z48" s="2">
        <v>24974.400000000001</v>
      </c>
      <c r="AA48">
        <v>76000</v>
      </c>
      <c r="AE48" s="1"/>
    </row>
    <row r="49" spans="1:31" x14ac:dyDescent="0.3">
      <c r="A49">
        <v>8681668579859</v>
      </c>
      <c r="B49" t="s">
        <v>55</v>
      </c>
      <c r="C49" t="s">
        <v>301</v>
      </c>
      <c r="D49" t="s">
        <v>28</v>
      </c>
      <c r="E49" t="str">
        <f t="shared" si="2"/>
        <v>женский LC08052.120 перламутровый</v>
      </c>
      <c r="F49" t="s">
        <v>29</v>
      </c>
      <c r="G49" t="s">
        <v>42</v>
      </c>
      <c r="H49" t="s">
        <v>45</v>
      </c>
      <c r="I49" t="s">
        <v>56</v>
      </c>
      <c r="J49" t="s">
        <v>33</v>
      </c>
      <c r="K49" t="s">
        <v>34</v>
      </c>
      <c r="L49" t="s">
        <v>46</v>
      </c>
      <c r="M49" t="s">
        <v>36</v>
      </c>
      <c r="N49" t="s">
        <v>37</v>
      </c>
      <c r="O49" t="s">
        <v>36</v>
      </c>
      <c r="P49" t="s">
        <v>38</v>
      </c>
      <c r="Q49" t="s">
        <v>39</v>
      </c>
      <c r="R49" t="s">
        <v>39</v>
      </c>
      <c r="S49">
        <v>35</v>
      </c>
      <c r="T49" t="s">
        <v>36</v>
      </c>
      <c r="U49" t="s">
        <v>36</v>
      </c>
      <c r="V49" t="s">
        <v>40</v>
      </c>
      <c r="X49">
        <v>1</v>
      </c>
      <c r="Y49" s="2">
        <v>8822</v>
      </c>
      <c r="Z49" s="2">
        <v>9704.2000000000007</v>
      </c>
      <c r="AA49">
        <v>33000</v>
      </c>
      <c r="AE49" s="1"/>
    </row>
    <row r="50" spans="1:31" x14ac:dyDescent="0.3">
      <c r="A50">
        <v>8681668579866</v>
      </c>
      <c r="B50" t="s">
        <v>57</v>
      </c>
      <c r="C50" t="s">
        <v>301</v>
      </c>
      <c r="D50" t="s">
        <v>28</v>
      </c>
      <c r="E50" t="str">
        <f t="shared" si="2"/>
        <v>женский LC08052.170 изумруд</v>
      </c>
      <c r="F50" t="s">
        <v>29</v>
      </c>
      <c r="G50" t="s">
        <v>42</v>
      </c>
      <c r="H50" t="s">
        <v>58</v>
      </c>
      <c r="I50" t="s">
        <v>56</v>
      </c>
      <c r="J50" t="s">
        <v>33</v>
      </c>
      <c r="K50" t="s">
        <v>34</v>
      </c>
      <c r="L50" t="s">
        <v>46</v>
      </c>
      <c r="M50" t="s">
        <v>36</v>
      </c>
      <c r="N50" t="s">
        <v>37</v>
      </c>
      <c r="O50" t="s">
        <v>36</v>
      </c>
      <c r="P50" t="s">
        <v>38</v>
      </c>
      <c r="Q50" t="s">
        <v>39</v>
      </c>
      <c r="R50" t="s">
        <v>39</v>
      </c>
      <c r="S50">
        <v>35</v>
      </c>
      <c r="T50" t="s">
        <v>36</v>
      </c>
      <c r="U50" t="s">
        <v>36</v>
      </c>
      <c r="V50" t="s">
        <v>40</v>
      </c>
      <c r="X50">
        <v>2</v>
      </c>
      <c r="Y50" s="2">
        <v>8822</v>
      </c>
      <c r="Z50" s="2">
        <v>9704.2000000000007</v>
      </c>
      <c r="AA50">
        <v>33000</v>
      </c>
      <c r="AE50" s="1"/>
    </row>
    <row r="51" spans="1:31" x14ac:dyDescent="0.3">
      <c r="A51">
        <v>8681668580305</v>
      </c>
      <c r="B51" t="s">
        <v>246</v>
      </c>
      <c r="C51" t="s">
        <v>301</v>
      </c>
      <c r="D51" t="s">
        <v>28</v>
      </c>
      <c r="E51" t="str">
        <f t="shared" si="2"/>
        <v>мужской LC08066.077 зеленый</v>
      </c>
      <c r="F51" t="s">
        <v>84</v>
      </c>
      <c r="G51" t="s">
        <v>73</v>
      </c>
      <c r="H51" t="s">
        <v>73</v>
      </c>
      <c r="I51">
        <v>48</v>
      </c>
      <c r="J51" t="s">
        <v>88</v>
      </c>
      <c r="K51" t="s">
        <v>34</v>
      </c>
      <c r="L51" t="s">
        <v>46</v>
      </c>
      <c r="M51" t="s">
        <v>89</v>
      </c>
      <c r="N51" t="s">
        <v>37</v>
      </c>
      <c r="O51" t="s">
        <v>238</v>
      </c>
      <c r="P51" t="s">
        <v>38</v>
      </c>
      <c r="Q51" t="s">
        <v>132</v>
      </c>
      <c r="R51" t="s">
        <v>39</v>
      </c>
      <c r="T51" t="s">
        <v>36</v>
      </c>
      <c r="U51" t="s">
        <v>36</v>
      </c>
      <c r="V51" t="s">
        <v>40</v>
      </c>
      <c r="W51" t="s">
        <v>156</v>
      </c>
      <c r="X51">
        <v>2</v>
      </c>
      <c r="Y51" s="2">
        <v>14536.5</v>
      </c>
      <c r="Z51" s="2">
        <v>15990.150000000001</v>
      </c>
      <c r="AA51">
        <v>44000</v>
      </c>
      <c r="AE51" s="1"/>
    </row>
    <row r="52" spans="1:31" x14ac:dyDescent="0.3">
      <c r="A52">
        <v>8681668580312</v>
      </c>
      <c r="B52" t="s">
        <v>247</v>
      </c>
      <c r="C52" t="s">
        <v>301</v>
      </c>
      <c r="D52" t="s">
        <v>28</v>
      </c>
      <c r="E52" t="str">
        <f t="shared" si="2"/>
        <v>мужской LC08066.651 черный, красный</v>
      </c>
      <c r="F52" t="s">
        <v>84</v>
      </c>
      <c r="G52" t="s">
        <v>248</v>
      </c>
      <c r="H52" t="s">
        <v>248</v>
      </c>
      <c r="I52">
        <v>48</v>
      </c>
      <c r="J52" t="s">
        <v>88</v>
      </c>
      <c r="K52" t="s">
        <v>34</v>
      </c>
      <c r="L52" t="s">
        <v>46</v>
      </c>
      <c r="M52" t="s">
        <v>89</v>
      </c>
      <c r="N52" t="s">
        <v>37</v>
      </c>
      <c r="O52" t="s">
        <v>238</v>
      </c>
      <c r="P52" t="s">
        <v>38</v>
      </c>
      <c r="Q52" t="s">
        <v>132</v>
      </c>
      <c r="R52" t="s">
        <v>39</v>
      </c>
      <c r="T52" t="s">
        <v>36</v>
      </c>
      <c r="U52" t="s">
        <v>36</v>
      </c>
      <c r="V52" t="s">
        <v>40</v>
      </c>
      <c r="W52" t="s">
        <v>156</v>
      </c>
      <c r="X52">
        <v>2</v>
      </c>
      <c r="Y52" s="2">
        <v>14536.5</v>
      </c>
      <c r="Z52" s="2">
        <v>15990.150000000001</v>
      </c>
      <c r="AA52">
        <v>42000</v>
      </c>
      <c r="AE52" s="1"/>
    </row>
    <row r="53" spans="1:31" x14ac:dyDescent="0.3">
      <c r="A53">
        <v>8681668581036</v>
      </c>
      <c r="B53" t="s">
        <v>74</v>
      </c>
      <c r="C53" t="s">
        <v>301</v>
      </c>
      <c r="D53" t="s">
        <v>28</v>
      </c>
      <c r="E53" t="str">
        <f t="shared" si="2"/>
        <v>женский LC08083.130 белый</v>
      </c>
      <c r="F53" t="s">
        <v>29</v>
      </c>
      <c r="G53" t="s">
        <v>42</v>
      </c>
      <c r="H53" t="s">
        <v>75</v>
      </c>
      <c r="I53" t="s">
        <v>32</v>
      </c>
      <c r="J53" t="s">
        <v>33</v>
      </c>
      <c r="K53" t="s">
        <v>34</v>
      </c>
      <c r="L53" t="s">
        <v>35</v>
      </c>
      <c r="M53" t="s">
        <v>36</v>
      </c>
      <c r="N53" t="s">
        <v>37</v>
      </c>
      <c r="O53" t="s">
        <v>36</v>
      </c>
      <c r="P53" t="s">
        <v>38</v>
      </c>
      <c r="Q53" t="s">
        <v>39</v>
      </c>
      <c r="R53" t="s">
        <v>39</v>
      </c>
      <c r="S53">
        <v>75</v>
      </c>
      <c r="T53" t="s">
        <v>36</v>
      </c>
      <c r="U53" t="s">
        <v>36</v>
      </c>
      <c r="V53" t="s">
        <v>40</v>
      </c>
      <c r="X53">
        <v>2</v>
      </c>
      <c r="Y53" s="2">
        <v>11269.499999999996</v>
      </c>
      <c r="Z53" s="2">
        <v>12396.449999999997</v>
      </c>
      <c r="AA53">
        <v>41000</v>
      </c>
      <c r="AE53" s="1"/>
    </row>
    <row r="54" spans="1:31" x14ac:dyDescent="0.3">
      <c r="A54">
        <v>8681668581005</v>
      </c>
      <c r="B54" t="s">
        <v>76</v>
      </c>
      <c r="C54" t="s">
        <v>301</v>
      </c>
      <c r="D54" t="s">
        <v>28</v>
      </c>
      <c r="E54" t="str">
        <f t="shared" si="2"/>
        <v>женский LC08083.230 белый</v>
      </c>
      <c r="F54" t="s">
        <v>29</v>
      </c>
      <c r="G54" t="s">
        <v>64</v>
      </c>
      <c r="H54" t="s">
        <v>75</v>
      </c>
      <c r="I54" t="s">
        <v>32</v>
      </c>
      <c r="J54" t="s">
        <v>33</v>
      </c>
      <c r="K54" t="s">
        <v>34</v>
      </c>
      <c r="L54" t="s">
        <v>35</v>
      </c>
      <c r="M54" t="s">
        <v>36</v>
      </c>
      <c r="N54" t="s">
        <v>37</v>
      </c>
      <c r="O54" t="s">
        <v>36</v>
      </c>
      <c r="P54" t="s">
        <v>38</v>
      </c>
      <c r="Q54" t="s">
        <v>39</v>
      </c>
      <c r="R54" t="s">
        <v>39</v>
      </c>
      <c r="S54">
        <v>75</v>
      </c>
      <c r="T54" t="s">
        <v>36</v>
      </c>
      <c r="U54" t="s">
        <v>36</v>
      </c>
      <c r="V54" t="s">
        <v>40</v>
      </c>
      <c r="X54">
        <v>2</v>
      </c>
      <c r="Y54" s="2">
        <v>11269.499999999996</v>
      </c>
      <c r="Z54" s="2">
        <v>12396.449999999997</v>
      </c>
      <c r="AA54">
        <v>41000</v>
      </c>
      <c r="AE54" s="1"/>
    </row>
    <row r="55" spans="1:31" x14ac:dyDescent="0.3">
      <c r="A55" s="3">
        <v>8681668580343</v>
      </c>
      <c r="B55" t="s">
        <v>166</v>
      </c>
      <c r="C55" t="s">
        <v>301</v>
      </c>
      <c r="D55" t="s">
        <v>28</v>
      </c>
      <c r="E55" t="str">
        <f t="shared" si="2"/>
        <v>женский LC08099.377 зеленый</v>
      </c>
      <c r="F55" t="s">
        <v>29</v>
      </c>
      <c r="G55" t="s">
        <v>73</v>
      </c>
      <c r="H55" t="s">
        <v>73</v>
      </c>
      <c r="I55">
        <v>38</v>
      </c>
      <c r="J55" t="s">
        <v>33</v>
      </c>
      <c r="K55" t="s">
        <v>34</v>
      </c>
      <c r="L55" t="s">
        <v>46</v>
      </c>
      <c r="M55" t="s">
        <v>89</v>
      </c>
      <c r="N55" t="s">
        <v>155</v>
      </c>
      <c r="O55" t="s">
        <v>165</v>
      </c>
      <c r="P55" t="s">
        <v>38</v>
      </c>
      <c r="Q55" t="s">
        <v>132</v>
      </c>
      <c r="R55" t="s">
        <v>39</v>
      </c>
      <c r="T55" t="s">
        <v>36</v>
      </c>
      <c r="U55" t="s">
        <v>36</v>
      </c>
      <c r="V55" t="s">
        <v>40</v>
      </c>
      <c r="W55" t="s">
        <v>156</v>
      </c>
      <c r="X55">
        <v>2</v>
      </c>
      <c r="Y55" s="2">
        <v>12903</v>
      </c>
      <c r="Z55" s="2">
        <v>14193.300000000001</v>
      </c>
      <c r="AA55">
        <v>38000</v>
      </c>
      <c r="AE55" s="1"/>
    </row>
    <row r="56" spans="1:31" x14ac:dyDescent="0.3">
      <c r="A56" s="3">
        <v>8681668580381</v>
      </c>
      <c r="B56" t="s">
        <v>164</v>
      </c>
      <c r="C56" t="s">
        <v>301</v>
      </c>
      <c r="D56" t="s">
        <v>28</v>
      </c>
      <c r="E56" t="str">
        <f t="shared" si="2"/>
        <v>женский LC08099.390 голубой</v>
      </c>
      <c r="F56" t="s">
        <v>29</v>
      </c>
      <c r="G56" t="s">
        <v>31</v>
      </c>
      <c r="H56" t="s">
        <v>31</v>
      </c>
      <c r="I56">
        <v>38</v>
      </c>
      <c r="J56" t="s">
        <v>33</v>
      </c>
      <c r="K56" t="s">
        <v>34</v>
      </c>
      <c r="L56" t="s">
        <v>46</v>
      </c>
      <c r="M56" t="s">
        <v>89</v>
      </c>
      <c r="N56" t="s">
        <v>155</v>
      </c>
      <c r="O56" t="s">
        <v>165</v>
      </c>
      <c r="P56" t="s">
        <v>38</v>
      </c>
      <c r="Q56" t="s">
        <v>132</v>
      </c>
      <c r="R56" t="s">
        <v>39</v>
      </c>
      <c r="T56" t="s">
        <v>36</v>
      </c>
      <c r="U56" t="s">
        <v>36</v>
      </c>
      <c r="V56" t="s">
        <v>40</v>
      </c>
      <c r="W56" t="s">
        <v>156</v>
      </c>
      <c r="X56">
        <v>2</v>
      </c>
      <c r="Y56" s="2">
        <v>12903</v>
      </c>
      <c r="Z56" s="2">
        <v>14193.300000000001</v>
      </c>
      <c r="AA56">
        <v>38000</v>
      </c>
      <c r="AE56" s="1"/>
    </row>
    <row r="57" spans="1:31" x14ac:dyDescent="0.3">
      <c r="A57" s="3">
        <v>8681668580350</v>
      </c>
      <c r="B57" t="s">
        <v>167</v>
      </c>
      <c r="C57" t="s">
        <v>301</v>
      </c>
      <c r="D57" t="s">
        <v>28</v>
      </c>
      <c r="E57" t="str">
        <f t="shared" si="2"/>
        <v>женский LC08099.399 синий</v>
      </c>
      <c r="F57" t="s">
        <v>29</v>
      </c>
      <c r="G57" t="s">
        <v>95</v>
      </c>
      <c r="H57" t="s">
        <v>95</v>
      </c>
      <c r="I57">
        <v>38</v>
      </c>
      <c r="J57" t="s">
        <v>33</v>
      </c>
      <c r="K57" t="s">
        <v>34</v>
      </c>
      <c r="L57" t="s">
        <v>46</v>
      </c>
      <c r="M57" t="s">
        <v>89</v>
      </c>
      <c r="N57" t="s">
        <v>155</v>
      </c>
      <c r="O57" t="s">
        <v>165</v>
      </c>
      <c r="P57" t="s">
        <v>38</v>
      </c>
      <c r="Q57" t="s">
        <v>132</v>
      </c>
      <c r="R57" t="s">
        <v>39</v>
      </c>
      <c r="T57" t="s">
        <v>36</v>
      </c>
      <c r="U57" t="s">
        <v>36</v>
      </c>
      <c r="V57" t="s">
        <v>40</v>
      </c>
      <c r="W57" t="s">
        <v>156</v>
      </c>
      <c r="X57">
        <v>2</v>
      </c>
      <c r="Y57" s="2">
        <v>12903</v>
      </c>
      <c r="Z57" s="2">
        <v>14193.300000000001</v>
      </c>
      <c r="AA57">
        <v>38000</v>
      </c>
      <c r="AE57" s="1"/>
    </row>
    <row r="58" spans="1:31" x14ac:dyDescent="0.3">
      <c r="A58" s="3">
        <v>8681668578630</v>
      </c>
      <c r="B58" s="3" t="s">
        <v>168</v>
      </c>
      <c r="C58" t="s">
        <v>301</v>
      </c>
      <c r="D58" s="3" t="s">
        <v>28</v>
      </c>
      <c r="E58" t="str">
        <f t="shared" si="2"/>
        <v>женский LC08107.134 серебристый</v>
      </c>
      <c r="F58" s="3" t="s">
        <v>29</v>
      </c>
      <c r="G58" s="3" t="s">
        <v>93</v>
      </c>
      <c r="H58" s="3" t="s">
        <v>51</v>
      </c>
      <c r="I58" s="3">
        <v>40</v>
      </c>
      <c r="J58" s="3" t="s">
        <v>33</v>
      </c>
      <c r="K58" t="s">
        <v>34</v>
      </c>
      <c r="L58" s="3" t="s">
        <v>46</v>
      </c>
      <c r="M58" s="3" t="s">
        <v>36</v>
      </c>
      <c r="N58" s="3" t="s">
        <v>37</v>
      </c>
      <c r="O58" s="3" t="s">
        <v>106</v>
      </c>
      <c r="P58" s="3" t="s">
        <v>38</v>
      </c>
      <c r="Q58" s="3" t="s">
        <v>91</v>
      </c>
      <c r="R58" s="3" t="s">
        <v>39</v>
      </c>
      <c r="S58" s="3"/>
      <c r="T58" s="3" t="s">
        <v>36</v>
      </c>
      <c r="U58" s="3" t="s">
        <v>36</v>
      </c>
      <c r="V58" s="3" t="s">
        <v>40</v>
      </c>
      <c r="W58" s="3" t="s">
        <v>156</v>
      </c>
      <c r="X58" s="3">
        <v>1</v>
      </c>
      <c r="Y58" s="2">
        <v>11269.5</v>
      </c>
      <c r="Z58" s="2">
        <v>12396.45</v>
      </c>
      <c r="AA58" s="3">
        <v>33000</v>
      </c>
      <c r="AE58" s="1"/>
    </row>
    <row r="59" spans="1:31" x14ac:dyDescent="0.3">
      <c r="A59" s="3">
        <v>8681668578692</v>
      </c>
      <c r="B59" s="3" t="s">
        <v>169</v>
      </c>
      <c r="C59" t="s">
        <v>301</v>
      </c>
      <c r="D59" s="3" t="s">
        <v>28</v>
      </c>
      <c r="E59" t="str">
        <f t="shared" si="2"/>
        <v>мужской LC08108.134 серебристый</v>
      </c>
      <c r="F59" s="3" t="s">
        <v>84</v>
      </c>
      <c r="G59" s="3" t="s">
        <v>93</v>
      </c>
      <c r="H59" s="3" t="s">
        <v>51</v>
      </c>
      <c r="I59" s="3">
        <v>48</v>
      </c>
      <c r="J59" s="3" t="s">
        <v>88</v>
      </c>
      <c r="K59" t="s">
        <v>34</v>
      </c>
      <c r="L59" s="3" t="s">
        <v>46</v>
      </c>
      <c r="M59" s="3" t="s">
        <v>36</v>
      </c>
      <c r="N59" s="3" t="s">
        <v>37</v>
      </c>
      <c r="O59" s="3" t="s">
        <v>106</v>
      </c>
      <c r="P59" s="3" t="s">
        <v>38</v>
      </c>
      <c r="Q59" s="3" t="s">
        <v>91</v>
      </c>
      <c r="R59" s="3" t="s">
        <v>39</v>
      </c>
      <c r="S59" s="3"/>
      <c r="T59" s="3" t="s">
        <v>36</v>
      </c>
      <c r="U59" s="3" t="s">
        <v>36</v>
      </c>
      <c r="V59" s="3" t="s">
        <v>40</v>
      </c>
      <c r="W59" s="3" t="s">
        <v>156</v>
      </c>
      <c r="X59" s="3">
        <v>1</v>
      </c>
      <c r="Y59" s="2">
        <v>12903</v>
      </c>
      <c r="Z59" s="2">
        <v>14193.300000000001</v>
      </c>
      <c r="AA59" s="3">
        <v>38000</v>
      </c>
      <c r="AE59" s="1"/>
    </row>
    <row r="60" spans="1:31" x14ac:dyDescent="0.3">
      <c r="A60">
        <v>8681668613980</v>
      </c>
      <c r="B60" t="s">
        <v>49</v>
      </c>
      <c r="C60" t="s">
        <v>301</v>
      </c>
      <c r="D60" t="s">
        <v>28</v>
      </c>
      <c r="E60" t="str">
        <f t="shared" si="2"/>
        <v>женский LC08130.120 перламутровый</v>
      </c>
      <c r="F60" t="s">
        <v>29</v>
      </c>
      <c r="G60" t="s">
        <v>42</v>
      </c>
      <c r="H60" t="s">
        <v>45</v>
      </c>
      <c r="I60" t="s">
        <v>48</v>
      </c>
      <c r="J60" t="s">
        <v>33</v>
      </c>
      <c r="K60" t="s">
        <v>34</v>
      </c>
      <c r="L60" t="s">
        <v>35</v>
      </c>
      <c r="M60" t="s">
        <v>36</v>
      </c>
      <c r="N60" t="s">
        <v>37</v>
      </c>
      <c r="O60" t="s">
        <v>36</v>
      </c>
      <c r="P60" t="s">
        <v>38</v>
      </c>
      <c r="Q60" t="s">
        <v>39</v>
      </c>
      <c r="R60" t="s">
        <v>39</v>
      </c>
      <c r="S60">
        <v>45</v>
      </c>
      <c r="T60" t="s">
        <v>36</v>
      </c>
      <c r="U60" t="s">
        <v>36</v>
      </c>
      <c r="V60" t="s">
        <v>40</v>
      </c>
      <c r="X60">
        <v>2</v>
      </c>
      <c r="Y60" s="2">
        <v>12089</v>
      </c>
      <c r="Z60" s="2">
        <v>13297.900000000001</v>
      </c>
      <c r="AA60">
        <v>43000</v>
      </c>
      <c r="AE60" s="1"/>
    </row>
    <row r="61" spans="1:31" x14ac:dyDescent="0.3">
      <c r="A61">
        <v>8681668613973</v>
      </c>
      <c r="B61" t="s">
        <v>47</v>
      </c>
      <c r="C61" t="s">
        <v>301</v>
      </c>
      <c r="D61" t="s">
        <v>28</v>
      </c>
      <c r="E61" t="str">
        <f t="shared" si="2"/>
        <v>женский LC08130.320 перламутровый</v>
      </c>
      <c r="F61" t="s">
        <v>29</v>
      </c>
      <c r="G61" t="s">
        <v>30</v>
      </c>
      <c r="H61" t="s">
        <v>45</v>
      </c>
      <c r="I61" t="s">
        <v>48</v>
      </c>
      <c r="J61" t="s">
        <v>33</v>
      </c>
      <c r="K61" t="s">
        <v>34</v>
      </c>
      <c r="L61" t="s">
        <v>35</v>
      </c>
      <c r="M61" t="s">
        <v>36</v>
      </c>
      <c r="N61" t="s">
        <v>37</v>
      </c>
      <c r="O61" t="s">
        <v>36</v>
      </c>
      <c r="P61" t="s">
        <v>38</v>
      </c>
      <c r="Q61" t="s">
        <v>39</v>
      </c>
      <c r="R61" t="s">
        <v>39</v>
      </c>
      <c r="S61">
        <v>45</v>
      </c>
      <c r="T61" t="s">
        <v>36</v>
      </c>
      <c r="U61" t="s">
        <v>36</v>
      </c>
      <c r="V61" t="s">
        <v>40</v>
      </c>
      <c r="X61">
        <v>2</v>
      </c>
      <c r="Y61" s="2">
        <v>10455.5</v>
      </c>
      <c r="Z61" s="2">
        <v>11501.050000000001</v>
      </c>
      <c r="AA61">
        <v>38000</v>
      </c>
      <c r="AE61" s="1"/>
    </row>
    <row r="62" spans="1:31" x14ac:dyDescent="0.3">
      <c r="A62">
        <v>8681668613744</v>
      </c>
      <c r="B62" t="s">
        <v>41</v>
      </c>
      <c r="C62" t="s">
        <v>301</v>
      </c>
      <c r="D62" t="s">
        <v>28</v>
      </c>
      <c r="E62" t="str">
        <f t="shared" si="2"/>
        <v>женский LC08131.110 золотой, черный</v>
      </c>
      <c r="F62" t="s">
        <v>29</v>
      </c>
      <c r="G62" t="s">
        <v>42</v>
      </c>
      <c r="H62" t="s">
        <v>43</v>
      </c>
      <c r="I62" t="s">
        <v>32</v>
      </c>
      <c r="J62" t="s">
        <v>33</v>
      </c>
      <c r="K62" t="s">
        <v>34</v>
      </c>
      <c r="L62" t="s">
        <v>35</v>
      </c>
      <c r="M62" t="s">
        <v>36</v>
      </c>
      <c r="N62" t="s">
        <v>37</v>
      </c>
      <c r="O62" t="s">
        <v>36</v>
      </c>
      <c r="P62" t="s">
        <v>38</v>
      </c>
      <c r="Q62" t="s">
        <v>39</v>
      </c>
      <c r="R62" t="s">
        <v>39</v>
      </c>
      <c r="S62">
        <v>75</v>
      </c>
      <c r="T62" t="s">
        <v>36</v>
      </c>
      <c r="U62" t="s">
        <v>36</v>
      </c>
      <c r="V62" t="s">
        <v>40</v>
      </c>
      <c r="X62">
        <v>2</v>
      </c>
      <c r="Y62" s="2">
        <v>12903</v>
      </c>
      <c r="Z62" s="2">
        <v>14193.300000000001</v>
      </c>
      <c r="AA62">
        <v>46000</v>
      </c>
      <c r="AE62" s="1"/>
    </row>
    <row r="63" spans="1:31" x14ac:dyDescent="0.3">
      <c r="A63">
        <v>8681668613737</v>
      </c>
      <c r="B63" t="s">
        <v>27</v>
      </c>
      <c r="C63" t="s">
        <v>301</v>
      </c>
      <c r="D63" t="s">
        <v>28</v>
      </c>
      <c r="E63" t="str">
        <f t="shared" ref="E63:E93" si="3">CONCATENATE(F63," ",B63," ",H63)</f>
        <v>женский LC08131.300 голубой</v>
      </c>
      <c r="F63" t="s">
        <v>29</v>
      </c>
      <c r="G63" t="s">
        <v>30</v>
      </c>
      <c r="H63" t="s">
        <v>31</v>
      </c>
      <c r="I63" t="s">
        <v>32</v>
      </c>
      <c r="J63" t="s">
        <v>33</v>
      </c>
      <c r="K63" t="s">
        <v>34</v>
      </c>
      <c r="L63" t="s">
        <v>35</v>
      </c>
      <c r="M63" t="s">
        <v>36</v>
      </c>
      <c r="N63" t="s">
        <v>37</v>
      </c>
      <c r="O63" t="s">
        <v>36</v>
      </c>
      <c r="P63" t="s">
        <v>38</v>
      </c>
      <c r="Q63" t="s">
        <v>39</v>
      </c>
      <c r="R63" t="s">
        <v>39</v>
      </c>
      <c r="S63">
        <v>75</v>
      </c>
      <c r="T63" t="s">
        <v>36</v>
      </c>
      <c r="U63" t="s">
        <v>36</v>
      </c>
      <c r="V63" t="s">
        <v>40</v>
      </c>
      <c r="X63">
        <v>2</v>
      </c>
      <c r="Y63" s="2">
        <v>12903</v>
      </c>
      <c r="Z63" s="2">
        <v>14193.300000000001</v>
      </c>
      <c r="AA63">
        <v>46000</v>
      </c>
      <c r="AE63" s="1"/>
    </row>
    <row r="64" spans="1:31" x14ac:dyDescent="0.3">
      <c r="A64">
        <v>8681668613584</v>
      </c>
      <c r="B64" t="s">
        <v>79</v>
      </c>
      <c r="C64" t="s">
        <v>301</v>
      </c>
      <c r="D64" t="s">
        <v>28</v>
      </c>
      <c r="E64" t="str">
        <f t="shared" si="3"/>
        <v>женский LC08132.120 перламутровый</v>
      </c>
      <c r="F64" t="s">
        <v>29</v>
      </c>
      <c r="G64" t="s">
        <v>42</v>
      </c>
      <c r="H64" t="s">
        <v>45</v>
      </c>
      <c r="I64" t="s">
        <v>80</v>
      </c>
      <c r="J64" t="s">
        <v>33</v>
      </c>
      <c r="K64" t="s">
        <v>34</v>
      </c>
      <c r="L64" t="s">
        <v>46</v>
      </c>
      <c r="M64" t="s">
        <v>36</v>
      </c>
      <c r="N64" t="s">
        <v>37</v>
      </c>
      <c r="O64" t="s">
        <v>36</v>
      </c>
      <c r="P64" t="s">
        <v>38</v>
      </c>
      <c r="Q64" t="s">
        <v>39</v>
      </c>
      <c r="R64" t="s">
        <v>39</v>
      </c>
      <c r="S64">
        <v>75</v>
      </c>
      <c r="T64" t="s">
        <v>36</v>
      </c>
      <c r="U64" t="s">
        <v>36</v>
      </c>
      <c r="V64" t="s">
        <v>40</v>
      </c>
      <c r="X64">
        <v>2</v>
      </c>
      <c r="Y64" s="2">
        <v>12413.499999999998</v>
      </c>
      <c r="Z64" s="2">
        <v>13654.849999999999</v>
      </c>
      <c r="AA64">
        <v>44000</v>
      </c>
      <c r="AE64" s="1"/>
    </row>
    <row r="65" spans="1:31" x14ac:dyDescent="0.3">
      <c r="A65">
        <v>8681668613560</v>
      </c>
      <c r="B65" t="s">
        <v>82</v>
      </c>
      <c r="C65" t="s">
        <v>301</v>
      </c>
      <c r="D65" t="s">
        <v>28</v>
      </c>
      <c r="E65" t="str">
        <f t="shared" si="3"/>
        <v>женский LC08132.220 перламутровый</v>
      </c>
      <c r="F65" t="s">
        <v>29</v>
      </c>
      <c r="G65" t="s">
        <v>64</v>
      </c>
      <c r="H65" t="s">
        <v>45</v>
      </c>
      <c r="I65" t="s">
        <v>80</v>
      </c>
      <c r="J65" t="s">
        <v>33</v>
      </c>
      <c r="K65" t="s">
        <v>34</v>
      </c>
      <c r="L65" t="s">
        <v>46</v>
      </c>
      <c r="M65" t="s">
        <v>36</v>
      </c>
      <c r="N65" t="s">
        <v>37</v>
      </c>
      <c r="O65" t="s">
        <v>36</v>
      </c>
      <c r="P65" t="s">
        <v>38</v>
      </c>
      <c r="Q65" t="s">
        <v>39</v>
      </c>
      <c r="R65" t="s">
        <v>39</v>
      </c>
      <c r="S65">
        <v>75</v>
      </c>
      <c r="T65" t="s">
        <v>36</v>
      </c>
      <c r="U65" t="s">
        <v>36</v>
      </c>
      <c r="V65" t="s">
        <v>40</v>
      </c>
      <c r="X65">
        <v>2</v>
      </c>
      <c r="Y65" s="2">
        <v>12413.499999999998</v>
      </c>
      <c r="Z65" s="2">
        <v>13654.849999999999</v>
      </c>
      <c r="AA65">
        <v>44000</v>
      </c>
      <c r="AE65" s="1"/>
    </row>
    <row r="66" spans="1:31" x14ac:dyDescent="0.3">
      <c r="A66">
        <v>8681668613539</v>
      </c>
      <c r="B66" t="s">
        <v>81</v>
      </c>
      <c r="C66" t="s">
        <v>301</v>
      </c>
      <c r="D66" t="s">
        <v>28</v>
      </c>
      <c r="E66" t="str">
        <f t="shared" si="3"/>
        <v>женский LC08132.320 перламутровый</v>
      </c>
      <c r="F66" t="s">
        <v>29</v>
      </c>
      <c r="G66" t="s">
        <v>51</v>
      </c>
      <c r="H66" t="s">
        <v>45</v>
      </c>
      <c r="I66" t="s">
        <v>80</v>
      </c>
      <c r="J66" t="s">
        <v>33</v>
      </c>
      <c r="K66" t="s">
        <v>34</v>
      </c>
      <c r="L66" t="s">
        <v>46</v>
      </c>
      <c r="M66" t="s">
        <v>36</v>
      </c>
      <c r="N66" t="s">
        <v>37</v>
      </c>
      <c r="O66" t="s">
        <v>36</v>
      </c>
      <c r="P66" t="s">
        <v>38</v>
      </c>
      <c r="Q66" t="s">
        <v>39</v>
      </c>
      <c r="R66" t="s">
        <v>39</v>
      </c>
      <c r="S66">
        <v>75</v>
      </c>
      <c r="T66" t="s">
        <v>36</v>
      </c>
      <c r="U66" t="s">
        <v>36</v>
      </c>
      <c r="V66" t="s">
        <v>40</v>
      </c>
      <c r="X66">
        <v>2</v>
      </c>
      <c r="Y66" s="2">
        <v>11269.499999999996</v>
      </c>
      <c r="Z66" s="2">
        <v>12396.449999999997</v>
      </c>
      <c r="AA66">
        <v>44000</v>
      </c>
      <c r="AE66" s="1"/>
    </row>
    <row r="67" spans="1:31" x14ac:dyDescent="0.3">
      <c r="A67">
        <v>8681668613683</v>
      </c>
      <c r="B67" t="s">
        <v>50</v>
      </c>
      <c r="C67" t="s">
        <v>301</v>
      </c>
      <c r="D67" t="s">
        <v>28</v>
      </c>
      <c r="E67" t="str">
        <f t="shared" si="3"/>
        <v>женский LC08136.130 серебристый</v>
      </c>
      <c r="F67" t="s">
        <v>29</v>
      </c>
      <c r="G67" t="s">
        <v>42</v>
      </c>
      <c r="H67" t="s">
        <v>51</v>
      </c>
      <c r="I67" t="s">
        <v>52</v>
      </c>
      <c r="J67" t="s">
        <v>33</v>
      </c>
      <c r="K67" t="s">
        <v>34</v>
      </c>
      <c r="L67" t="s">
        <v>46</v>
      </c>
      <c r="M67" t="s">
        <v>36</v>
      </c>
      <c r="N67" t="s">
        <v>37</v>
      </c>
      <c r="O67" t="s">
        <v>36</v>
      </c>
      <c r="P67" t="s">
        <v>38</v>
      </c>
      <c r="Q67" t="s">
        <v>39</v>
      </c>
      <c r="R67" t="s">
        <v>39</v>
      </c>
      <c r="S67">
        <v>40</v>
      </c>
      <c r="T67" t="s">
        <v>36</v>
      </c>
      <c r="U67" t="s">
        <v>36</v>
      </c>
      <c r="V67" t="s">
        <v>40</v>
      </c>
      <c r="X67">
        <v>2</v>
      </c>
      <c r="Y67" s="2">
        <v>10455.5</v>
      </c>
      <c r="Z67" s="2">
        <v>11501.050000000001</v>
      </c>
      <c r="AA67">
        <v>38000</v>
      </c>
      <c r="AE67" s="1"/>
    </row>
    <row r="68" spans="1:31" x14ac:dyDescent="0.3">
      <c r="A68">
        <v>8681668613706</v>
      </c>
      <c r="B68" t="s">
        <v>53</v>
      </c>
      <c r="C68" t="s">
        <v>301</v>
      </c>
      <c r="D68" t="s">
        <v>28</v>
      </c>
      <c r="E68" t="str">
        <f t="shared" si="3"/>
        <v>женский LC08136.370 розовый</v>
      </c>
      <c r="F68" t="s">
        <v>29</v>
      </c>
      <c r="G68" t="s">
        <v>30</v>
      </c>
      <c r="H68" t="s">
        <v>54</v>
      </c>
      <c r="I68" t="s">
        <v>52</v>
      </c>
      <c r="J68" t="s">
        <v>33</v>
      </c>
      <c r="K68" t="s">
        <v>34</v>
      </c>
      <c r="L68" t="s">
        <v>46</v>
      </c>
      <c r="M68" t="s">
        <v>36</v>
      </c>
      <c r="N68" t="s">
        <v>37</v>
      </c>
      <c r="O68" t="s">
        <v>36</v>
      </c>
      <c r="P68" t="s">
        <v>38</v>
      </c>
      <c r="Q68" t="s">
        <v>39</v>
      </c>
      <c r="R68" t="s">
        <v>39</v>
      </c>
      <c r="S68">
        <v>40</v>
      </c>
      <c r="T68" t="s">
        <v>36</v>
      </c>
      <c r="U68" t="s">
        <v>36</v>
      </c>
      <c r="V68" t="s">
        <v>40</v>
      </c>
      <c r="X68">
        <v>2</v>
      </c>
      <c r="Y68" s="2">
        <v>10455.5</v>
      </c>
      <c r="Z68" s="2">
        <v>11501.050000000001</v>
      </c>
      <c r="AA68">
        <v>38000</v>
      </c>
      <c r="AE68" s="1"/>
    </row>
    <row r="69" spans="1:31" x14ac:dyDescent="0.3">
      <c r="A69">
        <v>8681668616219</v>
      </c>
      <c r="B69" t="s">
        <v>116</v>
      </c>
      <c r="C69" t="s">
        <v>301</v>
      </c>
      <c r="D69" t="s">
        <v>28</v>
      </c>
      <c r="E69" t="str">
        <f t="shared" si="3"/>
        <v>мужской LC08139.300 голубой</v>
      </c>
      <c r="F69" t="s">
        <v>84</v>
      </c>
      <c r="G69" t="s">
        <v>51</v>
      </c>
      <c r="H69" t="s">
        <v>31</v>
      </c>
      <c r="I69" t="s">
        <v>87</v>
      </c>
      <c r="J69" t="s">
        <v>88</v>
      </c>
      <c r="K69" t="s">
        <v>34</v>
      </c>
      <c r="L69" t="s">
        <v>35</v>
      </c>
      <c r="M69" t="s">
        <v>89</v>
      </c>
      <c r="N69" t="s">
        <v>37</v>
      </c>
      <c r="O69" t="s">
        <v>90</v>
      </c>
      <c r="P69" t="s">
        <v>38</v>
      </c>
      <c r="Q69" t="s">
        <v>39</v>
      </c>
      <c r="R69" t="s">
        <v>39</v>
      </c>
      <c r="S69">
        <v>157</v>
      </c>
      <c r="T69" t="s">
        <v>36</v>
      </c>
      <c r="U69" t="s">
        <v>36</v>
      </c>
      <c r="V69" t="s">
        <v>40</v>
      </c>
      <c r="X69">
        <v>2</v>
      </c>
      <c r="Y69" s="2">
        <v>14536.499999999998</v>
      </c>
      <c r="Z69" s="2">
        <v>15990.15</v>
      </c>
      <c r="AA69">
        <v>51000</v>
      </c>
    </row>
    <row r="70" spans="1:31" x14ac:dyDescent="0.3">
      <c r="A70">
        <v>8681668616226</v>
      </c>
      <c r="B70" t="s">
        <v>121</v>
      </c>
      <c r="C70" t="s">
        <v>301</v>
      </c>
      <c r="D70" t="s">
        <v>28</v>
      </c>
      <c r="E70" t="str">
        <f t="shared" si="3"/>
        <v>мужской LC08139.360 бронза</v>
      </c>
      <c r="F70" t="s">
        <v>84</v>
      </c>
      <c r="G70" t="s">
        <v>51</v>
      </c>
      <c r="H70" t="s">
        <v>86</v>
      </c>
      <c r="I70" t="s">
        <v>87</v>
      </c>
      <c r="J70" t="s">
        <v>88</v>
      </c>
      <c r="K70" t="s">
        <v>34</v>
      </c>
      <c r="L70" t="s">
        <v>35</v>
      </c>
      <c r="M70" t="s">
        <v>89</v>
      </c>
      <c r="N70" t="s">
        <v>37</v>
      </c>
      <c r="O70" t="s">
        <v>90</v>
      </c>
      <c r="P70" t="s">
        <v>38</v>
      </c>
      <c r="Q70" t="s">
        <v>39</v>
      </c>
      <c r="R70" t="s">
        <v>39</v>
      </c>
      <c r="S70">
        <v>157</v>
      </c>
      <c r="T70" t="s">
        <v>36</v>
      </c>
      <c r="U70" t="s">
        <v>36</v>
      </c>
      <c r="V70" t="s">
        <v>40</v>
      </c>
      <c r="X70">
        <v>2</v>
      </c>
      <c r="Y70" s="2">
        <v>14536.499999999998</v>
      </c>
      <c r="Z70" s="2">
        <v>15990.15</v>
      </c>
      <c r="AA70">
        <v>51000</v>
      </c>
    </row>
    <row r="71" spans="1:31" x14ac:dyDescent="0.3">
      <c r="A71">
        <v>8681668616257</v>
      </c>
      <c r="B71" t="s">
        <v>120</v>
      </c>
      <c r="C71" t="s">
        <v>301</v>
      </c>
      <c r="D71" t="s">
        <v>28</v>
      </c>
      <c r="E71" t="str">
        <f t="shared" si="3"/>
        <v>мужской LC08139.390 синий</v>
      </c>
      <c r="F71" t="s">
        <v>84</v>
      </c>
      <c r="G71" t="s">
        <v>51</v>
      </c>
      <c r="H71" t="s">
        <v>95</v>
      </c>
      <c r="I71" t="s">
        <v>87</v>
      </c>
      <c r="J71" t="s">
        <v>88</v>
      </c>
      <c r="K71" t="s">
        <v>34</v>
      </c>
      <c r="L71" t="s">
        <v>35</v>
      </c>
      <c r="M71" t="s">
        <v>89</v>
      </c>
      <c r="N71" t="s">
        <v>37</v>
      </c>
      <c r="O71" t="s">
        <v>90</v>
      </c>
      <c r="P71" t="s">
        <v>38</v>
      </c>
      <c r="Q71" t="s">
        <v>39</v>
      </c>
      <c r="R71" t="s">
        <v>39</v>
      </c>
      <c r="S71">
        <v>157</v>
      </c>
      <c r="T71" t="s">
        <v>36</v>
      </c>
      <c r="U71" t="s">
        <v>36</v>
      </c>
      <c r="V71" t="s">
        <v>40</v>
      </c>
      <c r="X71">
        <v>2</v>
      </c>
      <c r="Y71" s="2">
        <v>14536.499999999998</v>
      </c>
      <c r="Z71" s="2">
        <v>15990.15</v>
      </c>
      <c r="AA71">
        <v>51000</v>
      </c>
    </row>
    <row r="72" spans="1:31" x14ac:dyDescent="0.3">
      <c r="A72">
        <v>8681668614123</v>
      </c>
      <c r="B72" t="s">
        <v>44</v>
      </c>
      <c r="C72" t="s">
        <v>301</v>
      </c>
      <c r="D72" t="s">
        <v>28</v>
      </c>
      <c r="E72" t="str">
        <f t="shared" si="3"/>
        <v>женский LC08140.120 перламутровый</v>
      </c>
      <c r="F72" t="s">
        <v>29</v>
      </c>
      <c r="G72" t="s">
        <v>42</v>
      </c>
      <c r="H72" t="s">
        <v>45</v>
      </c>
      <c r="I72" t="s">
        <v>32</v>
      </c>
      <c r="J72" t="s">
        <v>33</v>
      </c>
      <c r="K72" t="s">
        <v>34</v>
      </c>
      <c r="L72" t="s">
        <v>46</v>
      </c>
      <c r="M72" t="s">
        <v>36</v>
      </c>
      <c r="N72" t="s">
        <v>37</v>
      </c>
      <c r="O72" t="s">
        <v>36</v>
      </c>
      <c r="P72" t="s">
        <v>38</v>
      </c>
      <c r="Q72" t="s">
        <v>39</v>
      </c>
      <c r="R72" t="s">
        <v>39</v>
      </c>
      <c r="S72">
        <v>35</v>
      </c>
      <c r="T72" t="s">
        <v>36</v>
      </c>
      <c r="U72" t="s">
        <v>36</v>
      </c>
      <c r="V72" t="s">
        <v>40</v>
      </c>
      <c r="X72">
        <v>1</v>
      </c>
      <c r="Y72" s="2">
        <v>10455.5</v>
      </c>
      <c r="Z72" s="2">
        <v>11501.050000000001</v>
      </c>
      <c r="AA72">
        <v>38000</v>
      </c>
      <c r="AD72" s="1"/>
    </row>
    <row r="73" spans="1:31" x14ac:dyDescent="0.3">
      <c r="A73">
        <v>8681668615458</v>
      </c>
      <c r="B73" t="s">
        <v>125</v>
      </c>
      <c r="C73" t="s">
        <v>301</v>
      </c>
      <c r="D73" t="s">
        <v>28</v>
      </c>
      <c r="E73" t="str">
        <f t="shared" si="3"/>
        <v xml:space="preserve">мужской LC08142.370 оливковый </v>
      </c>
      <c r="F73" t="s">
        <v>84</v>
      </c>
      <c r="G73" t="s">
        <v>51</v>
      </c>
      <c r="H73" t="s">
        <v>126</v>
      </c>
      <c r="I73" t="s">
        <v>87</v>
      </c>
      <c r="J73" t="s">
        <v>88</v>
      </c>
      <c r="K73" t="s">
        <v>34</v>
      </c>
      <c r="L73" t="s">
        <v>46</v>
      </c>
      <c r="M73" t="s">
        <v>36</v>
      </c>
      <c r="N73" t="s">
        <v>37</v>
      </c>
      <c r="O73" t="s">
        <v>106</v>
      </c>
      <c r="P73" t="s">
        <v>38</v>
      </c>
      <c r="Q73" t="s">
        <v>39</v>
      </c>
      <c r="R73" t="s">
        <v>39</v>
      </c>
      <c r="S73">
        <v>140</v>
      </c>
      <c r="T73" t="s">
        <v>36</v>
      </c>
      <c r="U73" t="s">
        <v>36</v>
      </c>
      <c r="V73" t="s">
        <v>40</v>
      </c>
      <c r="X73">
        <v>2</v>
      </c>
      <c r="Y73" s="2">
        <v>11269.499999999996</v>
      </c>
      <c r="Z73" s="2">
        <v>12396.449999999997</v>
      </c>
      <c r="AA73">
        <v>41000</v>
      </c>
      <c r="AD73" s="1"/>
    </row>
    <row r="74" spans="1:31" x14ac:dyDescent="0.3">
      <c r="A74">
        <v>8681668615441</v>
      </c>
      <c r="B74" t="s">
        <v>127</v>
      </c>
      <c r="C74" t="s">
        <v>301</v>
      </c>
      <c r="D74" t="s">
        <v>28</v>
      </c>
      <c r="E74" t="str">
        <f t="shared" si="3"/>
        <v>мужской LC08142.390 синий</v>
      </c>
      <c r="F74" t="s">
        <v>84</v>
      </c>
      <c r="G74" t="s">
        <v>51</v>
      </c>
      <c r="H74" t="s">
        <v>95</v>
      </c>
      <c r="I74" t="s">
        <v>87</v>
      </c>
      <c r="J74" t="s">
        <v>88</v>
      </c>
      <c r="K74" t="s">
        <v>34</v>
      </c>
      <c r="L74" t="s">
        <v>46</v>
      </c>
      <c r="M74" t="s">
        <v>36</v>
      </c>
      <c r="N74" t="s">
        <v>37</v>
      </c>
      <c r="O74" t="s">
        <v>106</v>
      </c>
      <c r="P74" t="s">
        <v>38</v>
      </c>
      <c r="Q74" t="s">
        <v>39</v>
      </c>
      <c r="R74" t="s">
        <v>39</v>
      </c>
      <c r="S74">
        <v>140</v>
      </c>
      <c r="T74" t="s">
        <v>36</v>
      </c>
      <c r="U74" t="s">
        <v>36</v>
      </c>
      <c r="V74" t="s">
        <v>40</v>
      </c>
      <c r="X74">
        <v>2</v>
      </c>
      <c r="Y74" s="2">
        <v>11269.499999999996</v>
      </c>
      <c r="Z74" s="2">
        <v>12396.449999999997</v>
      </c>
      <c r="AA74">
        <v>41000</v>
      </c>
      <c r="AD74" s="1"/>
    </row>
    <row r="75" spans="1:31" x14ac:dyDescent="0.3">
      <c r="A75">
        <v>8681668616158</v>
      </c>
      <c r="B75" t="s">
        <v>135</v>
      </c>
      <c r="C75" t="s">
        <v>301</v>
      </c>
      <c r="D75" t="s">
        <v>28</v>
      </c>
      <c r="E75" t="str">
        <f t="shared" si="3"/>
        <v>мужской LC08144.330 серебристый</v>
      </c>
      <c r="F75" t="s">
        <v>84</v>
      </c>
      <c r="G75" t="s">
        <v>51</v>
      </c>
      <c r="H75" t="s">
        <v>51</v>
      </c>
      <c r="I75" t="s">
        <v>97</v>
      </c>
      <c r="J75" t="s">
        <v>88</v>
      </c>
      <c r="K75" t="s">
        <v>34</v>
      </c>
      <c r="L75" t="s">
        <v>46</v>
      </c>
      <c r="M75" t="s">
        <v>89</v>
      </c>
      <c r="N75" t="s">
        <v>37</v>
      </c>
      <c r="O75" t="s">
        <v>90</v>
      </c>
      <c r="P75" t="s">
        <v>38</v>
      </c>
      <c r="Q75" t="s">
        <v>39</v>
      </c>
      <c r="R75" t="s">
        <v>39</v>
      </c>
      <c r="S75">
        <v>140</v>
      </c>
      <c r="T75" t="s">
        <v>36</v>
      </c>
      <c r="U75" t="s">
        <v>36</v>
      </c>
      <c r="V75" t="s">
        <v>40</v>
      </c>
      <c r="X75">
        <v>2</v>
      </c>
      <c r="Y75" s="2">
        <v>14536.499999999998</v>
      </c>
      <c r="Z75" s="2">
        <v>15990.15</v>
      </c>
      <c r="AA75">
        <v>51000</v>
      </c>
      <c r="AD75" s="1"/>
    </row>
    <row r="76" spans="1:31" x14ac:dyDescent="0.3">
      <c r="A76">
        <v>8681668616172</v>
      </c>
      <c r="B76" t="s">
        <v>134</v>
      </c>
      <c r="C76" t="s">
        <v>301</v>
      </c>
      <c r="D76" t="s">
        <v>28</v>
      </c>
      <c r="E76" t="str">
        <f t="shared" si="3"/>
        <v>мужской LC08144.390 синий</v>
      </c>
      <c r="F76" t="s">
        <v>84</v>
      </c>
      <c r="G76" t="s">
        <v>51</v>
      </c>
      <c r="H76" t="s">
        <v>95</v>
      </c>
      <c r="I76" t="s">
        <v>97</v>
      </c>
      <c r="J76" t="s">
        <v>88</v>
      </c>
      <c r="K76" t="s">
        <v>34</v>
      </c>
      <c r="L76" t="s">
        <v>46</v>
      </c>
      <c r="M76" t="s">
        <v>89</v>
      </c>
      <c r="N76" t="s">
        <v>37</v>
      </c>
      <c r="O76" t="s">
        <v>90</v>
      </c>
      <c r="P76" t="s">
        <v>38</v>
      </c>
      <c r="Q76" t="s">
        <v>39</v>
      </c>
      <c r="R76" t="s">
        <v>39</v>
      </c>
      <c r="S76">
        <v>140</v>
      </c>
      <c r="T76" t="s">
        <v>36</v>
      </c>
      <c r="U76" t="s">
        <v>36</v>
      </c>
      <c r="V76" t="s">
        <v>40</v>
      </c>
      <c r="X76">
        <v>2</v>
      </c>
      <c r="Y76" s="2">
        <v>14536.499999999998</v>
      </c>
      <c r="Z76" s="2">
        <v>15990.15</v>
      </c>
      <c r="AA76">
        <v>51000</v>
      </c>
      <c r="AD76" s="1"/>
    </row>
    <row r="77" spans="1:31" x14ac:dyDescent="0.3">
      <c r="A77">
        <v>8681668615496</v>
      </c>
      <c r="B77" t="s">
        <v>139</v>
      </c>
      <c r="C77" t="s">
        <v>301</v>
      </c>
      <c r="D77" t="s">
        <v>28</v>
      </c>
      <c r="E77" t="str">
        <f t="shared" si="3"/>
        <v>мужской LC08146.060 бронза</v>
      </c>
      <c r="F77" t="s">
        <v>84</v>
      </c>
      <c r="G77" t="s">
        <v>51</v>
      </c>
      <c r="H77" t="s">
        <v>86</v>
      </c>
      <c r="I77" t="s">
        <v>112</v>
      </c>
      <c r="J77" t="s">
        <v>88</v>
      </c>
      <c r="K77" t="s">
        <v>34</v>
      </c>
      <c r="L77" t="s">
        <v>35</v>
      </c>
      <c r="M77" t="s">
        <v>89</v>
      </c>
      <c r="N77" t="s">
        <v>37</v>
      </c>
      <c r="O77" t="s">
        <v>90</v>
      </c>
      <c r="P77" t="s">
        <v>38</v>
      </c>
      <c r="Q77" t="s">
        <v>39</v>
      </c>
      <c r="R77" t="s">
        <v>39</v>
      </c>
      <c r="S77">
        <v>145</v>
      </c>
      <c r="T77" t="s">
        <v>36</v>
      </c>
      <c r="U77" t="s">
        <v>36</v>
      </c>
      <c r="V77" t="s">
        <v>40</v>
      </c>
      <c r="X77">
        <v>2</v>
      </c>
      <c r="Y77" s="2">
        <v>15356.000000000002</v>
      </c>
      <c r="Z77" s="2">
        <v>16891.600000000002</v>
      </c>
      <c r="AA77">
        <v>54000</v>
      </c>
      <c r="AD77" s="1"/>
    </row>
    <row r="78" spans="1:31" s="3" customFormat="1" x14ac:dyDescent="0.3">
      <c r="A78">
        <v>8681668615526</v>
      </c>
      <c r="B78" t="s">
        <v>138</v>
      </c>
      <c r="C78" t="s">
        <v>301</v>
      </c>
      <c r="D78" t="s">
        <v>28</v>
      </c>
      <c r="E78" t="str">
        <f t="shared" si="3"/>
        <v>мужской LC08146.390 синий</v>
      </c>
      <c r="F78" t="s">
        <v>84</v>
      </c>
      <c r="G78" t="s">
        <v>51</v>
      </c>
      <c r="H78" t="s">
        <v>95</v>
      </c>
      <c r="I78" t="s">
        <v>112</v>
      </c>
      <c r="J78" t="s">
        <v>88</v>
      </c>
      <c r="K78" t="s">
        <v>34</v>
      </c>
      <c r="L78" t="s">
        <v>35</v>
      </c>
      <c r="M78" t="s">
        <v>89</v>
      </c>
      <c r="N78" t="s">
        <v>37</v>
      </c>
      <c r="O78" t="s">
        <v>90</v>
      </c>
      <c r="P78" t="s">
        <v>38</v>
      </c>
      <c r="Q78" t="s">
        <v>39</v>
      </c>
      <c r="R78" t="s">
        <v>39</v>
      </c>
      <c r="S78">
        <v>145</v>
      </c>
      <c r="T78" t="s">
        <v>36</v>
      </c>
      <c r="U78" t="s">
        <v>36</v>
      </c>
      <c r="V78" t="s">
        <v>40</v>
      </c>
      <c r="W78"/>
      <c r="X78">
        <v>2</v>
      </c>
      <c r="Y78" s="2">
        <v>14536.499999999998</v>
      </c>
      <c r="Z78" s="2">
        <v>15990.15</v>
      </c>
      <c r="AA78">
        <v>51000</v>
      </c>
    </row>
    <row r="79" spans="1:31" s="3" customFormat="1" x14ac:dyDescent="0.3">
      <c r="A79">
        <v>8681668616530</v>
      </c>
      <c r="B79" t="s">
        <v>131</v>
      </c>
      <c r="C79" t="s">
        <v>301</v>
      </c>
      <c r="D79" t="s">
        <v>28</v>
      </c>
      <c r="E79" t="str">
        <f t="shared" si="3"/>
        <v>мужской LC08150.099 синий</v>
      </c>
      <c r="F79" t="s">
        <v>84</v>
      </c>
      <c r="G79" t="s">
        <v>95</v>
      </c>
      <c r="H79" t="s">
        <v>95</v>
      </c>
      <c r="I79" t="s">
        <v>112</v>
      </c>
      <c r="J79" t="s">
        <v>88</v>
      </c>
      <c r="K79" t="s">
        <v>34</v>
      </c>
      <c r="L79" t="s">
        <v>35</v>
      </c>
      <c r="M79" t="s">
        <v>89</v>
      </c>
      <c r="N79" t="s">
        <v>37</v>
      </c>
      <c r="O79" t="s">
        <v>129</v>
      </c>
      <c r="P79" t="s">
        <v>38</v>
      </c>
      <c r="Q79" t="s">
        <v>132</v>
      </c>
      <c r="R79" t="s">
        <v>39</v>
      </c>
      <c r="S79">
        <v>85</v>
      </c>
      <c r="T79" t="s">
        <v>36</v>
      </c>
      <c r="U79" t="s">
        <v>36</v>
      </c>
      <c r="V79" t="s">
        <v>40</v>
      </c>
      <c r="W79"/>
      <c r="X79">
        <v>2</v>
      </c>
      <c r="Y79" s="2">
        <v>14536.499999999998</v>
      </c>
      <c r="Z79" s="2">
        <v>15990.15</v>
      </c>
      <c r="AA79">
        <v>51000</v>
      </c>
    </row>
    <row r="80" spans="1:31" s="3" customFormat="1" x14ac:dyDescent="0.3">
      <c r="A80">
        <v>8681668616516</v>
      </c>
      <c r="B80" t="s">
        <v>133</v>
      </c>
      <c r="C80" t="s">
        <v>301</v>
      </c>
      <c r="D80" t="s">
        <v>28</v>
      </c>
      <c r="E80" t="str">
        <f t="shared" si="3"/>
        <v>мужской LC08150.351 черный</v>
      </c>
      <c r="F80" t="s">
        <v>84</v>
      </c>
      <c r="G80" t="s">
        <v>100</v>
      </c>
      <c r="H80" t="s">
        <v>100</v>
      </c>
      <c r="I80" t="s">
        <v>112</v>
      </c>
      <c r="J80" t="s">
        <v>88</v>
      </c>
      <c r="K80" t="s">
        <v>34</v>
      </c>
      <c r="L80" t="s">
        <v>35</v>
      </c>
      <c r="M80" t="s">
        <v>89</v>
      </c>
      <c r="N80" t="s">
        <v>37</v>
      </c>
      <c r="O80" t="s">
        <v>129</v>
      </c>
      <c r="P80" t="s">
        <v>38</v>
      </c>
      <c r="Q80" t="s">
        <v>132</v>
      </c>
      <c r="R80" t="s">
        <v>39</v>
      </c>
      <c r="S80">
        <v>85</v>
      </c>
      <c r="T80" t="s">
        <v>36</v>
      </c>
      <c r="U80" t="s">
        <v>36</v>
      </c>
      <c r="V80" t="s">
        <v>40</v>
      </c>
      <c r="W80"/>
      <c r="X80">
        <v>2</v>
      </c>
      <c r="Y80" s="2">
        <v>12903</v>
      </c>
      <c r="Z80" s="2">
        <v>14193.300000000001</v>
      </c>
      <c r="AA80">
        <v>51000</v>
      </c>
    </row>
    <row r="81" spans="1:27" x14ac:dyDescent="0.3">
      <c r="A81">
        <v>8681668613591</v>
      </c>
      <c r="B81" t="s">
        <v>61</v>
      </c>
      <c r="C81" t="s">
        <v>301</v>
      </c>
      <c r="D81" t="s">
        <v>28</v>
      </c>
      <c r="E81" t="str">
        <f t="shared" si="3"/>
        <v>женский LC08155.120 перламутровый</v>
      </c>
      <c r="F81" t="s">
        <v>29</v>
      </c>
      <c r="G81" t="s">
        <v>42</v>
      </c>
      <c r="H81" t="s">
        <v>45</v>
      </c>
      <c r="I81" t="s">
        <v>62</v>
      </c>
      <c r="J81" t="s">
        <v>33</v>
      </c>
      <c r="K81" t="s">
        <v>34</v>
      </c>
      <c r="L81" t="s">
        <v>46</v>
      </c>
      <c r="M81" t="s">
        <v>36</v>
      </c>
      <c r="N81" t="s">
        <v>37</v>
      </c>
      <c r="O81" t="s">
        <v>36</v>
      </c>
      <c r="P81" t="s">
        <v>38</v>
      </c>
      <c r="Q81" t="s">
        <v>39</v>
      </c>
      <c r="R81" t="s">
        <v>39</v>
      </c>
      <c r="S81">
        <v>55</v>
      </c>
      <c r="T81" t="s">
        <v>36</v>
      </c>
      <c r="U81" t="s">
        <v>36</v>
      </c>
      <c r="V81" t="s">
        <v>40</v>
      </c>
      <c r="X81">
        <v>1</v>
      </c>
      <c r="Y81" s="2">
        <v>9636</v>
      </c>
      <c r="Z81" s="2">
        <v>10599.6</v>
      </c>
      <c r="AA81">
        <v>36000</v>
      </c>
    </row>
    <row r="82" spans="1:27" x14ac:dyDescent="0.3">
      <c r="A82">
        <v>8681668613607</v>
      </c>
      <c r="B82" t="s">
        <v>65</v>
      </c>
      <c r="C82" t="s">
        <v>301</v>
      </c>
      <c r="D82" t="s">
        <v>28</v>
      </c>
      <c r="E82" t="str">
        <f t="shared" si="3"/>
        <v>женский LC08155.170 бирюза</v>
      </c>
      <c r="F82" t="s">
        <v>29</v>
      </c>
      <c r="G82" t="s">
        <v>42</v>
      </c>
      <c r="H82" t="s">
        <v>66</v>
      </c>
      <c r="I82" t="s">
        <v>62</v>
      </c>
      <c r="J82" t="s">
        <v>33</v>
      </c>
      <c r="K82" t="s">
        <v>34</v>
      </c>
      <c r="L82" t="s">
        <v>46</v>
      </c>
      <c r="M82" t="s">
        <v>36</v>
      </c>
      <c r="N82" t="s">
        <v>37</v>
      </c>
      <c r="O82" t="s">
        <v>36</v>
      </c>
      <c r="P82" t="s">
        <v>38</v>
      </c>
      <c r="Q82" t="s">
        <v>39</v>
      </c>
      <c r="R82" t="s">
        <v>39</v>
      </c>
      <c r="S82">
        <v>55</v>
      </c>
      <c r="T82" t="s">
        <v>36</v>
      </c>
      <c r="U82" t="s">
        <v>36</v>
      </c>
      <c r="V82" t="s">
        <v>40</v>
      </c>
      <c r="X82">
        <v>2</v>
      </c>
      <c r="Y82" s="2">
        <v>9636</v>
      </c>
      <c r="Z82" s="2">
        <v>10599.6</v>
      </c>
      <c r="AA82">
        <v>36000</v>
      </c>
    </row>
    <row r="83" spans="1:27" x14ac:dyDescent="0.3">
      <c r="A83">
        <v>8681668613614</v>
      </c>
      <c r="B83" t="s">
        <v>63</v>
      </c>
      <c r="C83" t="s">
        <v>301</v>
      </c>
      <c r="D83" t="s">
        <v>28</v>
      </c>
      <c r="E83" t="str">
        <f t="shared" si="3"/>
        <v>женский LC08155.220 перламутровый</v>
      </c>
      <c r="F83" t="s">
        <v>29</v>
      </c>
      <c r="G83" t="s">
        <v>64</v>
      </c>
      <c r="H83" t="s">
        <v>45</v>
      </c>
      <c r="I83" t="s">
        <v>62</v>
      </c>
      <c r="J83" t="s">
        <v>33</v>
      </c>
      <c r="K83" t="s">
        <v>34</v>
      </c>
      <c r="L83" t="s">
        <v>46</v>
      </c>
      <c r="M83" t="s">
        <v>36</v>
      </c>
      <c r="N83" t="s">
        <v>37</v>
      </c>
      <c r="O83" t="s">
        <v>36</v>
      </c>
      <c r="P83" t="s">
        <v>38</v>
      </c>
      <c r="Q83" t="s">
        <v>39</v>
      </c>
      <c r="R83" t="s">
        <v>39</v>
      </c>
      <c r="S83">
        <v>55</v>
      </c>
      <c r="T83" t="s">
        <v>36</v>
      </c>
      <c r="U83" t="s">
        <v>36</v>
      </c>
      <c r="V83" t="s">
        <v>40</v>
      </c>
      <c r="X83">
        <v>2</v>
      </c>
      <c r="Y83" s="2">
        <v>9636</v>
      </c>
      <c r="Z83" s="2">
        <v>10599.6</v>
      </c>
      <c r="AA83">
        <v>36000</v>
      </c>
    </row>
    <row r="84" spans="1:27" x14ac:dyDescent="0.3">
      <c r="A84">
        <v>8681668613621</v>
      </c>
      <c r="B84" t="s">
        <v>67</v>
      </c>
      <c r="C84" t="s">
        <v>301</v>
      </c>
      <c r="D84" t="s">
        <v>28</v>
      </c>
      <c r="E84" t="str">
        <f t="shared" si="3"/>
        <v>женский LC08155.320 перламутровый</v>
      </c>
      <c r="F84" t="s">
        <v>29</v>
      </c>
      <c r="G84" t="s">
        <v>51</v>
      </c>
      <c r="H84" t="s">
        <v>45</v>
      </c>
      <c r="I84" t="s">
        <v>62</v>
      </c>
      <c r="J84" t="s">
        <v>33</v>
      </c>
      <c r="K84" t="s">
        <v>34</v>
      </c>
      <c r="L84" t="s">
        <v>46</v>
      </c>
      <c r="M84" t="s">
        <v>36</v>
      </c>
      <c r="N84" t="s">
        <v>37</v>
      </c>
      <c r="O84" t="s">
        <v>36</v>
      </c>
      <c r="P84" t="s">
        <v>38</v>
      </c>
      <c r="Q84" t="s">
        <v>39</v>
      </c>
      <c r="R84" t="s">
        <v>39</v>
      </c>
      <c r="S84">
        <v>55</v>
      </c>
      <c r="T84" t="s">
        <v>36</v>
      </c>
      <c r="U84" t="s">
        <v>36</v>
      </c>
      <c r="V84" t="s">
        <v>40</v>
      </c>
      <c r="X84">
        <v>2</v>
      </c>
      <c r="Y84" s="2">
        <v>9636</v>
      </c>
      <c r="Z84" s="2">
        <v>10599.6</v>
      </c>
      <c r="AA84">
        <v>36000</v>
      </c>
    </row>
    <row r="85" spans="1:27" x14ac:dyDescent="0.3">
      <c r="A85">
        <v>8681668613775</v>
      </c>
      <c r="B85" t="s">
        <v>77</v>
      </c>
      <c r="C85" t="s">
        <v>301</v>
      </c>
      <c r="D85" t="s">
        <v>28</v>
      </c>
      <c r="E85" t="str">
        <f t="shared" si="3"/>
        <v>женский LC08158.120 перламутровый</v>
      </c>
      <c r="F85" t="s">
        <v>29</v>
      </c>
      <c r="G85" t="s">
        <v>42</v>
      </c>
      <c r="H85" t="s">
        <v>45</v>
      </c>
      <c r="I85" t="s">
        <v>60</v>
      </c>
      <c r="J85" t="s">
        <v>33</v>
      </c>
      <c r="K85" t="s">
        <v>34</v>
      </c>
      <c r="L85" t="s">
        <v>46</v>
      </c>
      <c r="M85" t="s">
        <v>36</v>
      </c>
      <c r="N85" t="s">
        <v>37</v>
      </c>
      <c r="O85" t="s">
        <v>36</v>
      </c>
      <c r="P85" t="s">
        <v>38</v>
      </c>
      <c r="Q85" t="s">
        <v>39</v>
      </c>
      <c r="R85" t="s">
        <v>39</v>
      </c>
      <c r="S85">
        <v>70</v>
      </c>
      <c r="T85" t="s">
        <v>36</v>
      </c>
      <c r="U85" t="s">
        <v>36</v>
      </c>
      <c r="V85" t="s">
        <v>40</v>
      </c>
      <c r="X85">
        <v>2</v>
      </c>
      <c r="Y85" s="2">
        <v>10455.5</v>
      </c>
      <c r="Z85" s="2">
        <v>11501.050000000001</v>
      </c>
      <c r="AA85">
        <v>38000</v>
      </c>
    </row>
    <row r="86" spans="1:27" x14ac:dyDescent="0.3">
      <c r="A86">
        <v>8681668613799</v>
      </c>
      <c r="B86" t="s">
        <v>78</v>
      </c>
      <c r="C86" t="s">
        <v>301</v>
      </c>
      <c r="D86" t="s">
        <v>28</v>
      </c>
      <c r="E86" t="str">
        <f t="shared" si="3"/>
        <v>женский LC08158.220 перламутровый</v>
      </c>
      <c r="F86" t="s">
        <v>29</v>
      </c>
      <c r="G86" t="s">
        <v>64</v>
      </c>
      <c r="H86" t="s">
        <v>45</v>
      </c>
      <c r="I86" t="s">
        <v>60</v>
      </c>
      <c r="J86" t="s">
        <v>33</v>
      </c>
      <c r="K86" t="s">
        <v>34</v>
      </c>
      <c r="L86" t="s">
        <v>46</v>
      </c>
      <c r="M86" t="s">
        <v>36</v>
      </c>
      <c r="N86" t="s">
        <v>37</v>
      </c>
      <c r="O86" t="s">
        <v>36</v>
      </c>
      <c r="P86" t="s">
        <v>38</v>
      </c>
      <c r="Q86" t="s">
        <v>39</v>
      </c>
      <c r="R86" t="s">
        <v>39</v>
      </c>
      <c r="S86">
        <v>70</v>
      </c>
      <c r="T86" t="s">
        <v>36</v>
      </c>
      <c r="U86" t="s">
        <v>36</v>
      </c>
      <c r="V86" t="s">
        <v>40</v>
      </c>
      <c r="X86">
        <v>2</v>
      </c>
      <c r="Y86" s="2">
        <v>10455.5</v>
      </c>
      <c r="Z86" s="2">
        <v>11501.050000000001</v>
      </c>
      <c r="AA86">
        <v>38000</v>
      </c>
    </row>
    <row r="87" spans="1:27" x14ac:dyDescent="0.3">
      <c r="A87">
        <v>8681668613812</v>
      </c>
      <c r="B87" t="s">
        <v>59</v>
      </c>
      <c r="C87" t="s">
        <v>301</v>
      </c>
      <c r="D87" t="s">
        <v>28</v>
      </c>
      <c r="E87" t="str">
        <f t="shared" si="3"/>
        <v>женский LC08158.320 перламутровый</v>
      </c>
      <c r="F87" t="s">
        <v>29</v>
      </c>
      <c r="G87" t="s">
        <v>30</v>
      </c>
      <c r="H87" t="s">
        <v>45</v>
      </c>
      <c r="I87" t="s">
        <v>60</v>
      </c>
      <c r="J87" t="s">
        <v>33</v>
      </c>
      <c r="K87" t="s">
        <v>34</v>
      </c>
      <c r="L87" t="s">
        <v>46</v>
      </c>
      <c r="M87" t="s">
        <v>36</v>
      </c>
      <c r="N87" t="s">
        <v>37</v>
      </c>
      <c r="O87" t="s">
        <v>36</v>
      </c>
      <c r="P87" t="s">
        <v>38</v>
      </c>
      <c r="Q87" t="s">
        <v>39</v>
      </c>
      <c r="R87" t="s">
        <v>39</v>
      </c>
      <c r="S87">
        <v>70</v>
      </c>
      <c r="T87" t="s">
        <v>36</v>
      </c>
      <c r="U87" t="s">
        <v>36</v>
      </c>
      <c r="V87" t="s">
        <v>40</v>
      </c>
      <c r="X87">
        <v>2</v>
      </c>
      <c r="Y87" s="2">
        <v>8822</v>
      </c>
      <c r="Z87" s="2">
        <v>9704.2000000000007</v>
      </c>
      <c r="AA87">
        <v>33000</v>
      </c>
    </row>
    <row r="88" spans="1:27" x14ac:dyDescent="0.3">
      <c r="A88">
        <v>8681668614888</v>
      </c>
      <c r="B88" t="s">
        <v>151</v>
      </c>
      <c r="C88" t="s">
        <v>301</v>
      </c>
      <c r="D88" t="s">
        <v>28</v>
      </c>
      <c r="E88" t="str">
        <f t="shared" si="3"/>
        <v>женский LC08167.260 серый</v>
      </c>
      <c r="F88" t="s">
        <v>29</v>
      </c>
      <c r="G88" t="s">
        <v>64</v>
      </c>
      <c r="H88" t="s">
        <v>152</v>
      </c>
      <c r="I88" t="s">
        <v>153</v>
      </c>
      <c r="J88" t="s">
        <v>33</v>
      </c>
      <c r="K88" t="s">
        <v>34</v>
      </c>
      <c r="L88" t="s">
        <v>46</v>
      </c>
      <c r="M88" t="s">
        <v>36</v>
      </c>
      <c r="N88" t="s">
        <v>37</v>
      </c>
      <c r="O88" t="s">
        <v>36</v>
      </c>
      <c r="P88" t="s">
        <v>38</v>
      </c>
      <c r="Q88" t="s">
        <v>39</v>
      </c>
      <c r="R88" t="s">
        <v>39</v>
      </c>
      <c r="T88" t="s">
        <v>36</v>
      </c>
      <c r="U88" t="s">
        <v>36</v>
      </c>
      <c r="V88" t="s">
        <v>40</v>
      </c>
      <c r="X88">
        <v>3</v>
      </c>
      <c r="Y88" s="2">
        <v>9636</v>
      </c>
      <c r="Z88" s="2">
        <v>10599.6</v>
      </c>
      <c r="AA88">
        <v>39000</v>
      </c>
    </row>
    <row r="89" spans="1:27" x14ac:dyDescent="0.3">
      <c r="A89">
        <v>8681668615373</v>
      </c>
      <c r="B89" t="s">
        <v>111</v>
      </c>
      <c r="C89" t="s">
        <v>301</v>
      </c>
      <c r="D89" t="s">
        <v>28</v>
      </c>
      <c r="E89" t="str">
        <f t="shared" si="3"/>
        <v>мужской LC08168.351 черный</v>
      </c>
      <c r="F89" t="s">
        <v>84</v>
      </c>
      <c r="G89" t="s">
        <v>100</v>
      </c>
      <c r="H89" t="s">
        <v>100</v>
      </c>
      <c r="I89" t="s">
        <v>112</v>
      </c>
      <c r="J89" t="s">
        <v>88</v>
      </c>
      <c r="K89" t="s">
        <v>34</v>
      </c>
      <c r="L89" t="s">
        <v>46</v>
      </c>
      <c r="M89" t="s">
        <v>89</v>
      </c>
      <c r="N89" t="s">
        <v>37</v>
      </c>
      <c r="O89" t="s">
        <v>90</v>
      </c>
      <c r="P89" t="s">
        <v>38</v>
      </c>
      <c r="Q89" t="s">
        <v>91</v>
      </c>
      <c r="R89" t="s">
        <v>39</v>
      </c>
      <c r="S89">
        <v>85</v>
      </c>
      <c r="T89" t="s">
        <v>36</v>
      </c>
      <c r="U89" t="s">
        <v>36</v>
      </c>
      <c r="V89" t="s">
        <v>40</v>
      </c>
      <c r="X89">
        <v>2</v>
      </c>
      <c r="Y89" s="2">
        <v>12903</v>
      </c>
      <c r="Z89" s="2">
        <v>14193.300000000001</v>
      </c>
      <c r="AA89">
        <v>46000</v>
      </c>
    </row>
    <row r="90" spans="1:27" x14ac:dyDescent="0.3">
      <c r="A90">
        <v>8681668615380</v>
      </c>
      <c r="B90" t="s">
        <v>113</v>
      </c>
      <c r="C90" t="s">
        <v>301</v>
      </c>
      <c r="D90" t="s">
        <v>28</v>
      </c>
      <c r="E90" t="str">
        <f t="shared" si="3"/>
        <v>мужской LC08168.399 черный</v>
      </c>
      <c r="F90" t="s">
        <v>84</v>
      </c>
      <c r="G90" t="s">
        <v>95</v>
      </c>
      <c r="H90" t="s">
        <v>100</v>
      </c>
      <c r="I90" t="s">
        <v>112</v>
      </c>
      <c r="J90" t="s">
        <v>88</v>
      </c>
      <c r="K90" t="s">
        <v>34</v>
      </c>
      <c r="L90" t="s">
        <v>46</v>
      </c>
      <c r="M90" t="s">
        <v>89</v>
      </c>
      <c r="N90" t="s">
        <v>37</v>
      </c>
      <c r="O90" t="s">
        <v>90</v>
      </c>
      <c r="P90" t="s">
        <v>38</v>
      </c>
      <c r="Q90" t="s">
        <v>91</v>
      </c>
      <c r="R90" t="s">
        <v>39</v>
      </c>
      <c r="S90">
        <v>85</v>
      </c>
      <c r="T90" t="s">
        <v>36</v>
      </c>
      <c r="U90" t="s">
        <v>36</v>
      </c>
      <c r="V90" t="s">
        <v>40</v>
      </c>
      <c r="X90">
        <v>1</v>
      </c>
      <c r="Y90" s="2">
        <v>12903</v>
      </c>
      <c r="Z90" s="2">
        <v>14193.300000000001</v>
      </c>
      <c r="AA90">
        <v>46000</v>
      </c>
    </row>
    <row r="91" spans="1:27" x14ac:dyDescent="0.3">
      <c r="A91">
        <v>8681668615410</v>
      </c>
      <c r="B91" t="s">
        <v>114</v>
      </c>
      <c r="C91" t="s">
        <v>301</v>
      </c>
      <c r="D91" t="s">
        <v>28</v>
      </c>
      <c r="E91" t="str">
        <f t="shared" si="3"/>
        <v>мужской LC08168.594 синий</v>
      </c>
      <c r="F91" t="s">
        <v>84</v>
      </c>
      <c r="G91" t="s">
        <v>93</v>
      </c>
      <c r="H91" t="s">
        <v>95</v>
      </c>
      <c r="I91" t="s">
        <v>112</v>
      </c>
      <c r="J91" t="s">
        <v>88</v>
      </c>
      <c r="K91" t="s">
        <v>34</v>
      </c>
      <c r="L91" t="s">
        <v>46</v>
      </c>
      <c r="M91" t="s">
        <v>89</v>
      </c>
      <c r="N91" t="s">
        <v>37</v>
      </c>
      <c r="O91" t="s">
        <v>90</v>
      </c>
      <c r="P91" t="s">
        <v>38</v>
      </c>
      <c r="Q91" t="s">
        <v>91</v>
      </c>
      <c r="R91" t="s">
        <v>39</v>
      </c>
      <c r="S91">
        <v>85</v>
      </c>
      <c r="T91" t="s">
        <v>36</v>
      </c>
      <c r="U91" t="s">
        <v>36</v>
      </c>
      <c r="V91" t="s">
        <v>40</v>
      </c>
      <c r="X91">
        <v>2</v>
      </c>
      <c r="Y91" s="2">
        <v>12903</v>
      </c>
      <c r="Z91" s="2">
        <v>14193.300000000001</v>
      </c>
      <c r="AA91">
        <v>46000</v>
      </c>
    </row>
    <row r="92" spans="1:27" x14ac:dyDescent="0.3">
      <c r="A92">
        <v>8681668615939</v>
      </c>
      <c r="B92" t="s">
        <v>123</v>
      </c>
      <c r="C92" t="s">
        <v>301</v>
      </c>
      <c r="D92" t="s">
        <v>28</v>
      </c>
      <c r="E92" t="str">
        <f t="shared" si="3"/>
        <v>мужской LC08171.360 черный, золотой</v>
      </c>
      <c r="F92" t="s">
        <v>84</v>
      </c>
      <c r="G92" t="s">
        <v>51</v>
      </c>
      <c r="H92" t="s">
        <v>124</v>
      </c>
      <c r="I92" t="s">
        <v>87</v>
      </c>
      <c r="J92" t="s">
        <v>88</v>
      </c>
      <c r="K92" t="s">
        <v>34</v>
      </c>
      <c r="L92" t="s">
        <v>46</v>
      </c>
      <c r="M92" t="s">
        <v>89</v>
      </c>
      <c r="N92" t="s">
        <v>37</v>
      </c>
      <c r="O92" t="s">
        <v>122</v>
      </c>
      <c r="P92" t="s">
        <v>38</v>
      </c>
      <c r="Q92" t="s">
        <v>39</v>
      </c>
      <c r="R92" t="s">
        <v>39</v>
      </c>
      <c r="S92">
        <v>155</v>
      </c>
      <c r="T92" t="s">
        <v>36</v>
      </c>
      <c r="U92" t="s">
        <v>36</v>
      </c>
      <c r="V92" t="s">
        <v>40</v>
      </c>
      <c r="X92">
        <v>2</v>
      </c>
      <c r="Y92" s="2">
        <v>14536.499999999998</v>
      </c>
      <c r="Z92" s="2">
        <v>15990.15</v>
      </c>
      <c r="AA92">
        <v>51000</v>
      </c>
    </row>
    <row r="93" spans="1:27" x14ac:dyDescent="0.3">
      <c r="A93">
        <v>8681668616684</v>
      </c>
      <c r="B93" t="s">
        <v>96</v>
      </c>
      <c r="C93" t="s">
        <v>301</v>
      </c>
      <c r="D93" t="s">
        <v>28</v>
      </c>
      <c r="E93" t="str">
        <f t="shared" si="3"/>
        <v>мужской LC08172.339 серебристый</v>
      </c>
      <c r="F93" t="s">
        <v>84</v>
      </c>
      <c r="G93" t="s">
        <v>95</v>
      </c>
      <c r="H93" t="s">
        <v>51</v>
      </c>
      <c r="I93" t="s">
        <v>97</v>
      </c>
      <c r="J93" t="s">
        <v>88</v>
      </c>
      <c r="K93" t="s">
        <v>34</v>
      </c>
      <c r="L93" t="s">
        <v>46</v>
      </c>
      <c r="M93" t="s">
        <v>89</v>
      </c>
      <c r="N93" t="s">
        <v>37</v>
      </c>
      <c r="O93" t="s">
        <v>90</v>
      </c>
      <c r="P93" t="s">
        <v>38</v>
      </c>
      <c r="Q93" t="s">
        <v>91</v>
      </c>
      <c r="R93" t="s">
        <v>39</v>
      </c>
      <c r="S93">
        <v>70</v>
      </c>
      <c r="T93" t="s">
        <v>36</v>
      </c>
      <c r="U93" t="s">
        <v>36</v>
      </c>
      <c r="V93" t="s">
        <v>40</v>
      </c>
      <c r="X93">
        <v>3</v>
      </c>
      <c r="Y93" s="2">
        <v>12903</v>
      </c>
      <c r="Z93" s="2">
        <v>14193.300000000001</v>
      </c>
      <c r="AA93">
        <v>46000</v>
      </c>
    </row>
    <row r="94" spans="1:27" x14ac:dyDescent="0.3">
      <c r="A94">
        <v>8681668616646</v>
      </c>
      <c r="B94" t="s">
        <v>99</v>
      </c>
      <c r="C94" t="s">
        <v>301</v>
      </c>
      <c r="D94" t="s">
        <v>28</v>
      </c>
      <c r="E94" t="str">
        <f t="shared" ref="E94:E124" si="4">CONCATENATE(F94," ",B94," ",H94)</f>
        <v>мужской LC08172.351 черный</v>
      </c>
      <c r="F94" t="s">
        <v>84</v>
      </c>
      <c r="G94" t="s">
        <v>100</v>
      </c>
      <c r="H94" t="s">
        <v>100</v>
      </c>
      <c r="I94" t="s">
        <v>97</v>
      </c>
      <c r="J94" t="s">
        <v>88</v>
      </c>
      <c r="K94" t="s">
        <v>34</v>
      </c>
      <c r="L94" t="s">
        <v>46</v>
      </c>
      <c r="M94" t="s">
        <v>89</v>
      </c>
      <c r="N94" t="s">
        <v>37</v>
      </c>
      <c r="O94" t="s">
        <v>90</v>
      </c>
      <c r="P94" t="s">
        <v>38</v>
      </c>
      <c r="Q94" t="s">
        <v>91</v>
      </c>
      <c r="R94" t="s">
        <v>39</v>
      </c>
      <c r="S94">
        <v>70</v>
      </c>
      <c r="T94" t="s">
        <v>36</v>
      </c>
      <c r="U94" t="s">
        <v>36</v>
      </c>
      <c r="V94" t="s">
        <v>40</v>
      </c>
      <c r="X94">
        <v>2</v>
      </c>
      <c r="Y94" s="2">
        <v>12903</v>
      </c>
      <c r="Z94" s="2">
        <v>14193.300000000001</v>
      </c>
      <c r="AA94">
        <v>46000</v>
      </c>
    </row>
    <row r="95" spans="1:27" x14ac:dyDescent="0.3">
      <c r="A95">
        <v>8681668616653</v>
      </c>
      <c r="B95" t="s">
        <v>98</v>
      </c>
      <c r="C95" t="s">
        <v>301</v>
      </c>
      <c r="D95" t="s">
        <v>28</v>
      </c>
      <c r="E95" t="str">
        <f t="shared" si="4"/>
        <v>мужской LC08172.399 синий</v>
      </c>
      <c r="F95" t="s">
        <v>84</v>
      </c>
      <c r="G95" t="s">
        <v>95</v>
      </c>
      <c r="H95" t="s">
        <v>95</v>
      </c>
      <c r="I95" t="s">
        <v>97</v>
      </c>
      <c r="J95" t="s">
        <v>88</v>
      </c>
      <c r="K95" t="s">
        <v>34</v>
      </c>
      <c r="L95" t="s">
        <v>46</v>
      </c>
      <c r="M95" t="s">
        <v>89</v>
      </c>
      <c r="N95" t="s">
        <v>37</v>
      </c>
      <c r="O95" t="s">
        <v>90</v>
      </c>
      <c r="P95" t="s">
        <v>38</v>
      </c>
      <c r="Q95" t="s">
        <v>91</v>
      </c>
      <c r="R95" t="s">
        <v>39</v>
      </c>
      <c r="S95">
        <v>70</v>
      </c>
      <c r="T95" t="s">
        <v>36</v>
      </c>
      <c r="U95" t="s">
        <v>36</v>
      </c>
      <c r="V95" t="s">
        <v>40</v>
      </c>
      <c r="X95">
        <v>1</v>
      </c>
      <c r="Y95" s="2">
        <v>12903</v>
      </c>
      <c r="Z95" s="2">
        <v>14193.300000000001</v>
      </c>
      <c r="AA95">
        <v>46000</v>
      </c>
    </row>
    <row r="96" spans="1:27" x14ac:dyDescent="0.3">
      <c r="A96">
        <v>8681668616677</v>
      </c>
      <c r="B96" t="s">
        <v>101</v>
      </c>
      <c r="C96" t="s">
        <v>301</v>
      </c>
      <c r="D96" t="s">
        <v>28</v>
      </c>
      <c r="E96" t="str">
        <f t="shared" si="4"/>
        <v>мужской LC08172.592 синий</v>
      </c>
      <c r="F96" t="s">
        <v>84</v>
      </c>
      <c r="G96" t="s">
        <v>93</v>
      </c>
      <c r="H96" t="s">
        <v>95</v>
      </c>
      <c r="I96" t="s">
        <v>97</v>
      </c>
      <c r="J96" t="s">
        <v>88</v>
      </c>
      <c r="K96" t="s">
        <v>34</v>
      </c>
      <c r="L96" t="s">
        <v>46</v>
      </c>
      <c r="M96" t="s">
        <v>89</v>
      </c>
      <c r="N96" t="s">
        <v>37</v>
      </c>
      <c r="O96" t="s">
        <v>90</v>
      </c>
      <c r="P96" t="s">
        <v>38</v>
      </c>
      <c r="Q96" t="s">
        <v>91</v>
      </c>
      <c r="R96" t="s">
        <v>39</v>
      </c>
      <c r="S96">
        <v>70</v>
      </c>
      <c r="T96" t="s">
        <v>36</v>
      </c>
      <c r="U96" t="s">
        <v>36</v>
      </c>
      <c r="V96" t="s">
        <v>40</v>
      </c>
      <c r="X96">
        <v>2</v>
      </c>
      <c r="Y96" s="2">
        <v>12903</v>
      </c>
      <c r="Z96" s="2">
        <v>14193.300000000001</v>
      </c>
      <c r="AA96">
        <v>46000</v>
      </c>
    </row>
    <row r="97" spans="1:27" x14ac:dyDescent="0.3">
      <c r="A97">
        <v>8681668616271</v>
      </c>
      <c r="B97" t="s">
        <v>128</v>
      </c>
      <c r="C97" t="s">
        <v>301</v>
      </c>
      <c r="D97" t="s">
        <v>28</v>
      </c>
      <c r="E97" t="str">
        <f t="shared" si="4"/>
        <v>мужской LC08175.350 черный</v>
      </c>
      <c r="F97" t="s">
        <v>84</v>
      </c>
      <c r="G97" t="s">
        <v>51</v>
      </c>
      <c r="H97" t="s">
        <v>100</v>
      </c>
      <c r="I97" t="s">
        <v>97</v>
      </c>
      <c r="J97" t="s">
        <v>88</v>
      </c>
      <c r="K97" t="s">
        <v>34</v>
      </c>
      <c r="L97" t="s">
        <v>46</v>
      </c>
      <c r="M97" t="s">
        <v>89</v>
      </c>
      <c r="N97" t="s">
        <v>37</v>
      </c>
      <c r="O97" t="s">
        <v>129</v>
      </c>
      <c r="P97" t="s">
        <v>38</v>
      </c>
      <c r="Q97" t="s">
        <v>39</v>
      </c>
      <c r="R97" t="s">
        <v>39</v>
      </c>
      <c r="S97">
        <v>145</v>
      </c>
      <c r="T97" t="s">
        <v>36</v>
      </c>
      <c r="U97" t="s">
        <v>36</v>
      </c>
      <c r="V97" t="s">
        <v>40</v>
      </c>
      <c r="X97">
        <v>2</v>
      </c>
      <c r="Y97" s="2">
        <v>14536.499999999998</v>
      </c>
      <c r="Z97" s="2">
        <v>15990.15</v>
      </c>
      <c r="AA97">
        <v>51000</v>
      </c>
    </row>
    <row r="98" spans="1:27" x14ac:dyDescent="0.3">
      <c r="A98">
        <v>8681668616301</v>
      </c>
      <c r="B98" t="s">
        <v>130</v>
      </c>
      <c r="C98" t="s">
        <v>301</v>
      </c>
      <c r="D98" t="s">
        <v>28</v>
      </c>
      <c r="E98" t="str">
        <f t="shared" si="4"/>
        <v>мужской LC08175.390 синий</v>
      </c>
      <c r="F98" t="s">
        <v>84</v>
      </c>
      <c r="G98" t="s">
        <v>51</v>
      </c>
      <c r="H98" t="s">
        <v>95</v>
      </c>
      <c r="I98" t="s">
        <v>97</v>
      </c>
      <c r="J98" t="s">
        <v>88</v>
      </c>
      <c r="K98" t="s">
        <v>34</v>
      </c>
      <c r="L98" t="s">
        <v>46</v>
      </c>
      <c r="M98" t="s">
        <v>89</v>
      </c>
      <c r="N98" t="s">
        <v>37</v>
      </c>
      <c r="O98" t="s">
        <v>129</v>
      </c>
      <c r="P98" t="s">
        <v>38</v>
      </c>
      <c r="Q98" t="s">
        <v>39</v>
      </c>
      <c r="R98" t="s">
        <v>39</v>
      </c>
      <c r="S98">
        <v>145</v>
      </c>
      <c r="T98" t="s">
        <v>36</v>
      </c>
      <c r="U98" t="s">
        <v>36</v>
      </c>
      <c r="V98" t="s">
        <v>40</v>
      </c>
      <c r="X98">
        <v>2</v>
      </c>
      <c r="Y98" s="2">
        <v>14536.499999999998</v>
      </c>
      <c r="Z98" s="2">
        <v>15990.15</v>
      </c>
      <c r="AA98">
        <v>51000</v>
      </c>
    </row>
    <row r="99" spans="1:27" x14ac:dyDescent="0.3">
      <c r="A99">
        <v>8681668613447</v>
      </c>
      <c r="B99" t="s">
        <v>140</v>
      </c>
      <c r="C99" t="s">
        <v>301</v>
      </c>
      <c r="D99" t="s">
        <v>28</v>
      </c>
      <c r="E99" t="str">
        <f t="shared" si="4"/>
        <v>мужской LC08176.250 золотой, серебристый</v>
      </c>
      <c r="F99" t="s">
        <v>84</v>
      </c>
      <c r="G99" t="s">
        <v>64</v>
      </c>
      <c r="H99" t="s">
        <v>105</v>
      </c>
      <c r="I99" t="s">
        <v>112</v>
      </c>
      <c r="J99" t="s">
        <v>88</v>
      </c>
      <c r="K99" t="s">
        <v>34</v>
      </c>
      <c r="L99" t="s">
        <v>46</v>
      </c>
      <c r="M99" t="s">
        <v>89</v>
      </c>
      <c r="N99" t="s">
        <v>37</v>
      </c>
      <c r="O99" t="s">
        <v>129</v>
      </c>
      <c r="P99" t="s">
        <v>141</v>
      </c>
      <c r="Q99" t="s">
        <v>39</v>
      </c>
      <c r="R99" t="s">
        <v>39</v>
      </c>
      <c r="S99">
        <v>150</v>
      </c>
      <c r="T99" t="s">
        <v>36</v>
      </c>
      <c r="U99" t="s">
        <v>36</v>
      </c>
      <c r="V99" t="s">
        <v>142</v>
      </c>
      <c r="X99">
        <v>2</v>
      </c>
      <c r="Y99" s="2">
        <v>27604.499999999996</v>
      </c>
      <c r="Z99" s="2">
        <v>30364.949999999997</v>
      </c>
      <c r="AA99">
        <v>92000</v>
      </c>
    </row>
    <row r="100" spans="1:27" x14ac:dyDescent="0.3">
      <c r="A100">
        <v>8681668613393</v>
      </c>
      <c r="B100" t="s">
        <v>143</v>
      </c>
      <c r="C100" t="s">
        <v>301</v>
      </c>
      <c r="D100" t="s">
        <v>28</v>
      </c>
      <c r="E100" t="str">
        <f t="shared" si="4"/>
        <v>мужской LC08176.350 черный</v>
      </c>
      <c r="F100" t="s">
        <v>84</v>
      </c>
      <c r="G100" t="s">
        <v>51</v>
      </c>
      <c r="H100" t="s">
        <v>100</v>
      </c>
      <c r="I100" t="s">
        <v>112</v>
      </c>
      <c r="J100" t="s">
        <v>88</v>
      </c>
      <c r="K100" t="s">
        <v>34</v>
      </c>
      <c r="L100" t="s">
        <v>46</v>
      </c>
      <c r="M100" t="s">
        <v>89</v>
      </c>
      <c r="N100" t="s">
        <v>37</v>
      </c>
      <c r="O100" t="s">
        <v>129</v>
      </c>
      <c r="P100" t="s">
        <v>141</v>
      </c>
      <c r="Q100" t="s">
        <v>39</v>
      </c>
      <c r="R100" t="s">
        <v>39</v>
      </c>
      <c r="S100">
        <v>150</v>
      </c>
      <c r="T100" t="s">
        <v>36</v>
      </c>
      <c r="U100" t="s">
        <v>36</v>
      </c>
      <c r="V100" t="s">
        <v>142</v>
      </c>
      <c r="X100">
        <v>1</v>
      </c>
      <c r="Y100" s="2">
        <v>27604.499999999996</v>
      </c>
      <c r="Z100" s="2">
        <v>30364.949999999997</v>
      </c>
      <c r="AA100">
        <v>92000</v>
      </c>
    </row>
    <row r="101" spans="1:27" x14ac:dyDescent="0.3">
      <c r="A101">
        <v>8681668613409</v>
      </c>
      <c r="B101" t="s">
        <v>144</v>
      </c>
      <c r="C101" t="s">
        <v>301</v>
      </c>
      <c r="D101" t="s">
        <v>28</v>
      </c>
      <c r="E101" t="str">
        <f t="shared" si="4"/>
        <v>мужской LC08176.390 синий</v>
      </c>
      <c r="F101" t="s">
        <v>84</v>
      </c>
      <c r="G101" t="s">
        <v>51</v>
      </c>
      <c r="H101" t="s">
        <v>95</v>
      </c>
      <c r="I101" t="s">
        <v>112</v>
      </c>
      <c r="J101" t="s">
        <v>88</v>
      </c>
      <c r="K101" t="s">
        <v>34</v>
      </c>
      <c r="L101" t="s">
        <v>46</v>
      </c>
      <c r="M101" t="s">
        <v>89</v>
      </c>
      <c r="N101" t="s">
        <v>37</v>
      </c>
      <c r="O101" t="s">
        <v>129</v>
      </c>
      <c r="P101" t="s">
        <v>141</v>
      </c>
      <c r="Q101" t="s">
        <v>39</v>
      </c>
      <c r="R101" t="s">
        <v>39</v>
      </c>
      <c r="S101">
        <v>150</v>
      </c>
      <c r="T101" t="s">
        <v>36</v>
      </c>
      <c r="U101" t="s">
        <v>36</v>
      </c>
      <c r="V101" t="s">
        <v>142</v>
      </c>
      <c r="X101">
        <v>2</v>
      </c>
      <c r="Y101" s="2">
        <v>27604.499999999996</v>
      </c>
      <c r="Z101" s="2">
        <v>30364.949999999997</v>
      </c>
      <c r="AA101">
        <v>92000</v>
      </c>
    </row>
    <row r="102" spans="1:27" x14ac:dyDescent="0.3">
      <c r="A102">
        <v>8681668615298</v>
      </c>
      <c r="B102" t="s">
        <v>104</v>
      </c>
      <c r="C102" t="s">
        <v>301</v>
      </c>
      <c r="D102" t="s">
        <v>28</v>
      </c>
      <c r="E102" t="str">
        <f t="shared" si="4"/>
        <v>мужской LC08179.133 золотой, серебристый</v>
      </c>
      <c r="F102" t="s">
        <v>84</v>
      </c>
      <c r="G102" t="s">
        <v>93</v>
      </c>
      <c r="H102" t="s">
        <v>105</v>
      </c>
      <c r="I102" t="s">
        <v>97</v>
      </c>
      <c r="J102" t="s">
        <v>88</v>
      </c>
      <c r="K102" t="s">
        <v>34</v>
      </c>
      <c r="L102" t="s">
        <v>35</v>
      </c>
      <c r="M102" t="s">
        <v>36</v>
      </c>
      <c r="N102" t="s">
        <v>37</v>
      </c>
      <c r="O102" t="s">
        <v>106</v>
      </c>
      <c r="P102" t="s">
        <v>38</v>
      </c>
      <c r="Q102" t="s">
        <v>91</v>
      </c>
      <c r="R102" t="s">
        <v>39</v>
      </c>
      <c r="S102">
        <v>82</v>
      </c>
      <c r="T102" t="s">
        <v>36</v>
      </c>
      <c r="U102" t="s">
        <v>36</v>
      </c>
      <c r="V102" t="s">
        <v>40</v>
      </c>
      <c r="X102">
        <v>2</v>
      </c>
      <c r="Y102" s="2">
        <v>12903</v>
      </c>
      <c r="Z102" s="2">
        <v>14193.300000000001</v>
      </c>
      <c r="AA102">
        <v>46000</v>
      </c>
    </row>
    <row r="103" spans="1:27" x14ac:dyDescent="0.3">
      <c r="A103">
        <v>8681668615809</v>
      </c>
      <c r="B103" t="s">
        <v>92</v>
      </c>
      <c r="C103" t="s">
        <v>301</v>
      </c>
      <c r="D103" t="s">
        <v>28</v>
      </c>
      <c r="E103" t="str">
        <f t="shared" si="4"/>
        <v>мужской LC08180.362 бронза</v>
      </c>
      <c r="F103" t="s">
        <v>84</v>
      </c>
      <c r="G103" t="s">
        <v>93</v>
      </c>
      <c r="H103" t="s">
        <v>86</v>
      </c>
      <c r="I103" t="s">
        <v>87</v>
      </c>
      <c r="J103" t="s">
        <v>88</v>
      </c>
      <c r="K103" t="s">
        <v>34</v>
      </c>
      <c r="L103" t="s">
        <v>35</v>
      </c>
      <c r="M103" t="s">
        <v>89</v>
      </c>
      <c r="N103" t="s">
        <v>37</v>
      </c>
      <c r="O103" t="s">
        <v>90</v>
      </c>
      <c r="P103" t="s">
        <v>38</v>
      </c>
      <c r="Q103" t="s">
        <v>91</v>
      </c>
      <c r="R103" t="s">
        <v>39</v>
      </c>
      <c r="S103">
        <v>70</v>
      </c>
      <c r="T103" t="s">
        <v>36</v>
      </c>
      <c r="U103" t="s">
        <v>36</v>
      </c>
      <c r="V103" t="s">
        <v>40</v>
      </c>
      <c r="X103">
        <v>2</v>
      </c>
      <c r="Y103" s="2">
        <v>14536.499999999998</v>
      </c>
      <c r="Z103" s="2">
        <v>15990.15</v>
      </c>
      <c r="AA103">
        <v>51000</v>
      </c>
    </row>
    <row r="104" spans="1:27" x14ac:dyDescent="0.3">
      <c r="A104">
        <v>8681668615793</v>
      </c>
      <c r="B104" t="s">
        <v>94</v>
      </c>
      <c r="C104" t="s">
        <v>301</v>
      </c>
      <c r="D104" t="s">
        <v>28</v>
      </c>
      <c r="E104" t="str">
        <f t="shared" si="4"/>
        <v>мужской LC08180.399 синий</v>
      </c>
      <c r="F104" t="s">
        <v>84</v>
      </c>
      <c r="G104" t="s">
        <v>95</v>
      </c>
      <c r="H104" t="s">
        <v>95</v>
      </c>
      <c r="I104" t="s">
        <v>87</v>
      </c>
      <c r="J104" t="s">
        <v>88</v>
      </c>
      <c r="K104" t="s">
        <v>34</v>
      </c>
      <c r="L104" t="s">
        <v>35</v>
      </c>
      <c r="M104" t="s">
        <v>89</v>
      </c>
      <c r="N104" t="s">
        <v>37</v>
      </c>
      <c r="O104" t="s">
        <v>90</v>
      </c>
      <c r="P104" t="s">
        <v>38</v>
      </c>
      <c r="Q104" t="s">
        <v>91</v>
      </c>
      <c r="R104" t="s">
        <v>39</v>
      </c>
      <c r="S104">
        <v>70</v>
      </c>
      <c r="T104" t="s">
        <v>36</v>
      </c>
      <c r="U104" t="s">
        <v>36</v>
      </c>
      <c r="V104" t="s">
        <v>40</v>
      </c>
      <c r="X104">
        <v>2</v>
      </c>
      <c r="Y104" s="2">
        <v>14536.499999999998</v>
      </c>
      <c r="Z104" s="2">
        <v>15990.15</v>
      </c>
      <c r="AA104">
        <v>51000</v>
      </c>
    </row>
    <row r="105" spans="1:27" x14ac:dyDescent="0.3">
      <c r="A105">
        <v>8681668615854</v>
      </c>
      <c r="B105" t="s">
        <v>83</v>
      </c>
      <c r="C105" t="s">
        <v>301</v>
      </c>
      <c r="D105" t="s">
        <v>28</v>
      </c>
      <c r="E105" t="str">
        <f t="shared" si="4"/>
        <v>мужской LC08180.594 бронза</v>
      </c>
      <c r="F105" t="s">
        <v>84</v>
      </c>
      <c r="G105" t="s">
        <v>85</v>
      </c>
      <c r="H105" t="s">
        <v>86</v>
      </c>
      <c r="I105" t="s">
        <v>87</v>
      </c>
      <c r="J105" t="s">
        <v>88</v>
      </c>
      <c r="K105" t="s">
        <v>34</v>
      </c>
      <c r="L105" t="s">
        <v>35</v>
      </c>
      <c r="M105" t="s">
        <v>89</v>
      </c>
      <c r="N105" t="s">
        <v>37</v>
      </c>
      <c r="O105" t="s">
        <v>90</v>
      </c>
      <c r="P105" t="s">
        <v>38</v>
      </c>
      <c r="Q105" t="s">
        <v>91</v>
      </c>
      <c r="R105" t="s">
        <v>39</v>
      </c>
      <c r="S105">
        <v>70</v>
      </c>
      <c r="T105" t="s">
        <v>36</v>
      </c>
      <c r="U105" t="s">
        <v>36</v>
      </c>
      <c r="V105" t="s">
        <v>40</v>
      </c>
      <c r="X105">
        <v>2</v>
      </c>
      <c r="Y105" s="2">
        <v>14536.499999999998</v>
      </c>
      <c r="Z105" s="2">
        <v>15990.15</v>
      </c>
      <c r="AA105">
        <v>51000</v>
      </c>
    </row>
    <row r="106" spans="1:27" x14ac:dyDescent="0.3">
      <c r="A106">
        <v>8681668616486</v>
      </c>
      <c r="B106" t="s">
        <v>117</v>
      </c>
      <c r="C106" t="s">
        <v>301</v>
      </c>
      <c r="D106" t="s">
        <v>28</v>
      </c>
      <c r="E106" t="str">
        <f t="shared" si="4"/>
        <v>мужской LC08182.350 черный</v>
      </c>
      <c r="F106" t="s">
        <v>84</v>
      </c>
      <c r="G106" t="s">
        <v>51</v>
      </c>
      <c r="H106" t="s">
        <v>100</v>
      </c>
      <c r="I106" t="s">
        <v>87</v>
      </c>
      <c r="J106" t="s">
        <v>88</v>
      </c>
      <c r="K106" t="s">
        <v>34</v>
      </c>
      <c r="L106" t="s">
        <v>35</v>
      </c>
      <c r="M106" t="s">
        <v>89</v>
      </c>
      <c r="N106" t="s">
        <v>37</v>
      </c>
      <c r="O106" t="s">
        <v>90</v>
      </c>
      <c r="P106" t="s">
        <v>38</v>
      </c>
      <c r="Q106" t="s">
        <v>39</v>
      </c>
      <c r="R106" t="s">
        <v>39</v>
      </c>
      <c r="S106">
        <v>157</v>
      </c>
      <c r="T106" t="s">
        <v>36</v>
      </c>
      <c r="U106" t="s">
        <v>36</v>
      </c>
      <c r="V106" t="s">
        <v>40</v>
      </c>
      <c r="X106">
        <v>1</v>
      </c>
      <c r="Y106" s="2">
        <v>14536.499999999998</v>
      </c>
      <c r="Z106" s="2">
        <v>15990.15</v>
      </c>
      <c r="AA106">
        <v>51000</v>
      </c>
    </row>
    <row r="107" spans="1:27" x14ac:dyDescent="0.3">
      <c r="A107">
        <v>8681668616479</v>
      </c>
      <c r="B107" t="s">
        <v>119</v>
      </c>
      <c r="C107" t="s">
        <v>301</v>
      </c>
      <c r="D107" t="s">
        <v>28</v>
      </c>
      <c r="E107" t="str">
        <f t="shared" si="4"/>
        <v>мужской LC08182.360 бронза</v>
      </c>
      <c r="F107" t="s">
        <v>84</v>
      </c>
      <c r="G107" t="s">
        <v>51</v>
      </c>
      <c r="H107" t="s">
        <v>86</v>
      </c>
      <c r="I107" t="s">
        <v>87</v>
      </c>
      <c r="J107" t="s">
        <v>88</v>
      </c>
      <c r="K107" t="s">
        <v>34</v>
      </c>
      <c r="L107" t="s">
        <v>35</v>
      </c>
      <c r="M107" t="s">
        <v>89</v>
      </c>
      <c r="N107" t="s">
        <v>37</v>
      </c>
      <c r="O107" t="s">
        <v>90</v>
      </c>
      <c r="P107" t="s">
        <v>38</v>
      </c>
      <c r="Q107" t="s">
        <v>39</v>
      </c>
      <c r="R107" t="s">
        <v>39</v>
      </c>
      <c r="S107">
        <v>157</v>
      </c>
      <c r="T107" t="s">
        <v>36</v>
      </c>
      <c r="U107" t="s">
        <v>36</v>
      </c>
      <c r="V107" t="s">
        <v>40</v>
      </c>
      <c r="X107">
        <v>2</v>
      </c>
      <c r="Y107" s="2">
        <v>14536.499999999998</v>
      </c>
      <c r="Z107" s="2">
        <v>15990.15</v>
      </c>
      <c r="AA107">
        <v>51000</v>
      </c>
    </row>
    <row r="108" spans="1:27" x14ac:dyDescent="0.3">
      <c r="A108">
        <v>8681668616448</v>
      </c>
      <c r="B108" t="s">
        <v>118</v>
      </c>
      <c r="C108" t="s">
        <v>301</v>
      </c>
      <c r="D108" t="s">
        <v>28</v>
      </c>
      <c r="E108" t="str">
        <f t="shared" si="4"/>
        <v>мужской LC08182.390 синий</v>
      </c>
      <c r="F108" t="s">
        <v>84</v>
      </c>
      <c r="G108" t="s">
        <v>51</v>
      </c>
      <c r="H108" t="s">
        <v>95</v>
      </c>
      <c r="I108" t="s">
        <v>87</v>
      </c>
      <c r="J108" t="s">
        <v>88</v>
      </c>
      <c r="K108" t="s">
        <v>34</v>
      </c>
      <c r="L108" t="s">
        <v>35</v>
      </c>
      <c r="M108" t="s">
        <v>89</v>
      </c>
      <c r="N108" t="s">
        <v>37</v>
      </c>
      <c r="O108" t="s">
        <v>90</v>
      </c>
      <c r="P108" t="s">
        <v>38</v>
      </c>
      <c r="Q108" t="s">
        <v>39</v>
      </c>
      <c r="R108" t="s">
        <v>39</v>
      </c>
      <c r="S108">
        <v>157</v>
      </c>
      <c r="T108" t="s">
        <v>36</v>
      </c>
      <c r="U108" t="s">
        <v>36</v>
      </c>
      <c r="V108" t="s">
        <v>40</v>
      </c>
      <c r="X108">
        <v>1</v>
      </c>
      <c r="Y108" s="2">
        <v>14536.499999999998</v>
      </c>
      <c r="Z108" s="2">
        <v>15990.15</v>
      </c>
      <c r="AA108">
        <v>51000</v>
      </c>
    </row>
    <row r="109" spans="1:27" x14ac:dyDescent="0.3">
      <c r="A109">
        <v>8681668617056</v>
      </c>
      <c r="B109" t="s">
        <v>110</v>
      </c>
      <c r="C109" t="s">
        <v>301</v>
      </c>
      <c r="D109" t="s">
        <v>28</v>
      </c>
      <c r="E109" t="str">
        <f t="shared" si="4"/>
        <v>мужской LC08184.331 серебристый</v>
      </c>
      <c r="F109" t="s">
        <v>84</v>
      </c>
      <c r="G109" t="s">
        <v>100</v>
      </c>
      <c r="H109" t="s">
        <v>51</v>
      </c>
      <c r="I109" t="s">
        <v>87</v>
      </c>
      <c r="J109" t="s">
        <v>88</v>
      </c>
      <c r="K109" t="s">
        <v>34</v>
      </c>
      <c r="L109" t="s">
        <v>35</v>
      </c>
      <c r="M109" t="s">
        <v>89</v>
      </c>
      <c r="N109" t="s">
        <v>37</v>
      </c>
      <c r="O109" t="s">
        <v>90</v>
      </c>
      <c r="P109" t="s">
        <v>38</v>
      </c>
      <c r="Q109" t="s">
        <v>91</v>
      </c>
      <c r="R109" t="s">
        <v>39</v>
      </c>
      <c r="S109">
        <v>76</v>
      </c>
      <c r="T109" t="s">
        <v>36</v>
      </c>
      <c r="U109" t="s">
        <v>36</v>
      </c>
      <c r="V109" t="s">
        <v>40</v>
      </c>
      <c r="X109">
        <v>2</v>
      </c>
      <c r="Y109" s="2">
        <v>14536.499999999998</v>
      </c>
      <c r="Z109" s="2">
        <v>15990.15</v>
      </c>
      <c r="AA109">
        <v>51000</v>
      </c>
    </row>
    <row r="110" spans="1:27" x14ac:dyDescent="0.3">
      <c r="A110">
        <v>8681668617025</v>
      </c>
      <c r="B110" t="s">
        <v>109</v>
      </c>
      <c r="C110" t="s">
        <v>301</v>
      </c>
      <c r="D110" t="s">
        <v>28</v>
      </c>
      <c r="E110" t="str">
        <f t="shared" si="4"/>
        <v>мужской LC08184.352 черный</v>
      </c>
      <c r="F110" t="s">
        <v>84</v>
      </c>
      <c r="G110" t="s">
        <v>93</v>
      </c>
      <c r="H110" t="s">
        <v>100</v>
      </c>
      <c r="I110" t="s">
        <v>87</v>
      </c>
      <c r="J110" t="s">
        <v>88</v>
      </c>
      <c r="K110" t="s">
        <v>34</v>
      </c>
      <c r="L110" t="s">
        <v>35</v>
      </c>
      <c r="M110" t="s">
        <v>89</v>
      </c>
      <c r="N110" t="s">
        <v>37</v>
      </c>
      <c r="O110" t="s">
        <v>90</v>
      </c>
      <c r="P110" t="s">
        <v>38</v>
      </c>
      <c r="Q110" t="s">
        <v>91</v>
      </c>
      <c r="R110" t="s">
        <v>39</v>
      </c>
      <c r="S110">
        <v>76</v>
      </c>
      <c r="T110" t="s">
        <v>36</v>
      </c>
      <c r="U110" t="s">
        <v>36</v>
      </c>
      <c r="V110" t="s">
        <v>40</v>
      </c>
      <c r="X110">
        <v>2</v>
      </c>
      <c r="Y110" s="2">
        <v>14536.499999999998</v>
      </c>
      <c r="Z110" s="2">
        <v>15990.15</v>
      </c>
      <c r="AA110">
        <v>51000</v>
      </c>
    </row>
    <row r="111" spans="1:27" x14ac:dyDescent="0.3">
      <c r="A111">
        <v>8681668617001</v>
      </c>
      <c r="B111" t="s">
        <v>107</v>
      </c>
      <c r="C111" t="s">
        <v>301</v>
      </c>
      <c r="D111" t="s">
        <v>28</v>
      </c>
      <c r="E111" t="str">
        <f t="shared" si="4"/>
        <v>мужской LC08184.652 градиент</v>
      </c>
      <c r="F111" t="s">
        <v>84</v>
      </c>
      <c r="G111" t="s">
        <v>93</v>
      </c>
      <c r="H111" t="s">
        <v>108</v>
      </c>
      <c r="I111" t="s">
        <v>87</v>
      </c>
      <c r="J111" t="s">
        <v>88</v>
      </c>
      <c r="K111" t="s">
        <v>34</v>
      </c>
      <c r="L111" t="s">
        <v>35</v>
      </c>
      <c r="M111" t="s">
        <v>89</v>
      </c>
      <c r="N111" t="s">
        <v>37</v>
      </c>
      <c r="O111" t="s">
        <v>90</v>
      </c>
      <c r="P111" t="s">
        <v>38</v>
      </c>
      <c r="Q111" t="s">
        <v>91</v>
      </c>
      <c r="R111" t="s">
        <v>39</v>
      </c>
      <c r="S111">
        <v>76</v>
      </c>
      <c r="T111" t="s">
        <v>36</v>
      </c>
      <c r="U111" t="s">
        <v>36</v>
      </c>
      <c r="V111" t="s">
        <v>40</v>
      </c>
      <c r="X111">
        <v>2</v>
      </c>
      <c r="Y111" s="2">
        <v>14536.499999999998</v>
      </c>
      <c r="Z111" s="2">
        <v>15990.15</v>
      </c>
      <c r="AA111">
        <v>51000</v>
      </c>
    </row>
    <row r="112" spans="1:27" x14ac:dyDescent="0.3">
      <c r="A112">
        <v>8681668617094</v>
      </c>
      <c r="B112" t="s">
        <v>102</v>
      </c>
      <c r="C112" t="s">
        <v>301</v>
      </c>
      <c r="D112" t="s">
        <v>28</v>
      </c>
      <c r="E112" t="str">
        <f t="shared" si="4"/>
        <v>мужской LC08186.331 серебристый</v>
      </c>
      <c r="F112" t="s">
        <v>84</v>
      </c>
      <c r="G112" t="s">
        <v>100</v>
      </c>
      <c r="H112" t="s">
        <v>51</v>
      </c>
      <c r="I112" t="s">
        <v>103</v>
      </c>
      <c r="J112" t="s">
        <v>88</v>
      </c>
      <c r="K112" t="s">
        <v>34</v>
      </c>
      <c r="L112" t="s">
        <v>46</v>
      </c>
      <c r="M112" t="s">
        <v>89</v>
      </c>
      <c r="N112" t="s">
        <v>37</v>
      </c>
      <c r="O112" t="s">
        <v>90</v>
      </c>
      <c r="P112" t="s">
        <v>38</v>
      </c>
      <c r="Q112" t="s">
        <v>91</v>
      </c>
      <c r="R112" t="s">
        <v>39</v>
      </c>
      <c r="S112">
        <v>57</v>
      </c>
      <c r="T112" t="s">
        <v>36</v>
      </c>
      <c r="U112" t="s">
        <v>36</v>
      </c>
      <c r="V112" t="s">
        <v>40</v>
      </c>
      <c r="X112">
        <v>2</v>
      </c>
      <c r="Y112" s="2">
        <v>11269.499999999996</v>
      </c>
      <c r="Z112" s="2">
        <v>12396.449999999997</v>
      </c>
      <c r="AA112">
        <v>41000</v>
      </c>
    </row>
    <row r="113" spans="1:27" x14ac:dyDescent="0.3">
      <c r="A113">
        <v>8681668615779</v>
      </c>
      <c r="B113" t="s">
        <v>115</v>
      </c>
      <c r="C113" t="s">
        <v>301</v>
      </c>
      <c r="D113" t="s">
        <v>28</v>
      </c>
      <c r="E113" t="str">
        <f t="shared" si="4"/>
        <v>мужской LC08189.360 бронза</v>
      </c>
      <c r="F113" t="s">
        <v>84</v>
      </c>
      <c r="G113" t="s">
        <v>51</v>
      </c>
      <c r="H113" t="s">
        <v>86</v>
      </c>
      <c r="I113" t="s">
        <v>97</v>
      </c>
      <c r="J113" t="s">
        <v>88</v>
      </c>
      <c r="K113" t="s">
        <v>34</v>
      </c>
      <c r="L113" t="s">
        <v>46</v>
      </c>
      <c r="M113" t="s">
        <v>36</v>
      </c>
      <c r="N113" t="s">
        <v>37</v>
      </c>
      <c r="O113" t="s">
        <v>106</v>
      </c>
      <c r="P113" t="s">
        <v>38</v>
      </c>
      <c r="Q113" t="s">
        <v>39</v>
      </c>
      <c r="R113" t="s">
        <v>39</v>
      </c>
      <c r="S113">
        <v>130</v>
      </c>
      <c r="T113" t="s">
        <v>36</v>
      </c>
      <c r="U113" t="s">
        <v>36</v>
      </c>
      <c r="V113" t="s">
        <v>40</v>
      </c>
      <c r="X113">
        <v>2</v>
      </c>
      <c r="Y113" s="2">
        <v>9636</v>
      </c>
      <c r="Z113" s="2">
        <v>10599.6</v>
      </c>
      <c r="AA113">
        <v>36000</v>
      </c>
    </row>
    <row r="114" spans="1:27" x14ac:dyDescent="0.3">
      <c r="A114">
        <v>8681668617148</v>
      </c>
      <c r="B114" t="s">
        <v>137</v>
      </c>
      <c r="C114" t="s">
        <v>301</v>
      </c>
      <c r="D114" t="s">
        <v>28</v>
      </c>
      <c r="E114" t="str">
        <f t="shared" si="4"/>
        <v>мужской LC08194.360 бронза</v>
      </c>
      <c r="F114" t="s">
        <v>84</v>
      </c>
      <c r="G114" t="s">
        <v>51</v>
      </c>
      <c r="H114" t="s">
        <v>86</v>
      </c>
      <c r="I114" t="s">
        <v>97</v>
      </c>
      <c r="J114" t="s">
        <v>88</v>
      </c>
      <c r="K114" t="s">
        <v>34</v>
      </c>
      <c r="L114" t="s">
        <v>46</v>
      </c>
      <c r="M114" t="s">
        <v>89</v>
      </c>
      <c r="N114" t="s">
        <v>37</v>
      </c>
      <c r="O114" t="s">
        <v>90</v>
      </c>
      <c r="P114" t="s">
        <v>38</v>
      </c>
      <c r="Q114" t="s">
        <v>39</v>
      </c>
      <c r="R114" t="s">
        <v>39</v>
      </c>
      <c r="S114">
        <v>160</v>
      </c>
      <c r="T114" t="s">
        <v>36</v>
      </c>
      <c r="U114" t="s">
        <v>36</v>
      </c>
      <c r="V114" t="s">
        <v>40</v>
      </c>
      <c r="X114">
        <v>2</v>
      </c>
      <c r="Y114" s="2">
        <v>13722.499999999998</v>
      </c>
      <c r="Z114" s="2">
        <v>15094.75</v>
      </c>
      <c r="AA114">
        <v>49000</v>
      </c>
    </row>
    <row r="115" spans="1:27" x14ac:dyDescent="0.3">
      <c r="A115">
        <v>8681668617155</v>
      </c>
      <c r="B115" t="s">
        <v>136</v>
      </c>
      <c r="C115" t="s">
        <v>301</v>
      </c>
      <c r="D115" t="s">
        <v>28</v>
      </c>
      <c r="E115" t="str">
        <f t="shared" si="4"/>
        <v>мужской LC08194.390 синий</v>
      </c>
      <c r="F115" t="s">
        <v>84</v>
      </c>
      <c r="G115" t="s">
        <v>51</v>
      </c>
      <c r="H115" t="s">
        <v>95</v>
      </c>
      <c r="I115" t="s">
        <v>97</v>
      </c>
      <c r="J115" t="s">
        <v>88</v>
      </c>
      <c r="K115" t="s">
        <v>34</v>
      </c>
      <c r="L115" t="s">
        <v>46</v>
      </c>
      <c r="M115" t="s">
        <v>89</v>
      </c>
      <c r="N115" t="s">
        <v>37</v>
      </c>
      <c r="O115" t="s">
        <v>90</v>
      </c>
      <c r="P115" t="s">
        <v>38</v>
      </c>
      <c r="Q115" t="s">
        <v>39</v>
      </c>
      <c r="R115" t="s">
        <v>39</v>
      </c>
      <c r="S115">
        <v>160</v>
      </c>
      <c r="T115" t="s">
        <v>36</v>
      </c>
      <c r="U115" t="s">
        <v>36</v>
      </c>
      <c r="V115" t="s">
        <v>40</v>
      </c>
      <c r="X115">
        <v>2</v>
      </c>
      <c r="Y115" s="2">
        <v>13722.499999999998</v>
      </c>
      <c r="Z115" s="2">
        <v>15094.75</v>
      </c>
      <c r="AA115">
        <v>49000</v>
      </c>
    </row>
    <row r="116" spans="1:27" x14ac:dyDescent="0.3">
      <c r="A116">
        <v>8681668613256</v>
      </c>
      <c r="B116" t="s">
        <v>148</v>
      </c>
      <c r="C116" t="s">
        <v>301</v>
      </c>
      <c r="D116" t="s">
        <v>28</v>
      </c>
      <c r="E116" t="str">
        <f t="shared" si="4"/>
        <v>мужской LC08198.350 черный</v>
      </c>
      <c r="F116" t="s">
        <v>84</v>
      </c>
      <c r="G116" t="s">
        <v>51</v>
      </c>
      <c r="H116" t="s">
        <v>100</v>
      </c>
      <c r="I116" t="s">
        <v>149</v>
      </c>
      <c r="J116" t="s">
        <v>88</v>
      </c>
      <c r="K116" t="s">
        <v>34</v>
      </c>
      <c r="L116" t="s">
        <v>35</v>
      </c>
      <c r="M116" t="s">
        <v>36</v>
      </c>
      <c r="N116" t="s">
        <v>37</v>
      </c>
      <c r="O116" t="s">
        <v>36</v>
      </c>
      <c r="P116" t="s">
        <v>141</v>
      </c>
      <c r="Q116" t="s">
        <v>39</v>
      </c>
      <c r="R116" t="s">
        <v>39</v>
      </c>
      <c r="S116">
        <v>160</v>
      </c>
      <c r="T116" t="s">
        <v>36</v>
      </c>
      <c r="U116" t="s">
        <v>36</v>
      </c>
      <c r="V116" t="s">
        <v>142</v>
      </c>
      <c r="X116">
        <v>2</v>
      </c>
      <c r="Y116" s="2">
        <v>24337.5</v>
      </c>
      <c r="Z116" s="2">
        <v>26771.250000000004</v>
      </c>
      <c r="AA116">
        <v>82000</v>
      </c>
    </row>
    <row r="117" spans="1:27" x14ac:dyDescent="0.3">
      <c r="A117">
        <v>8681668613263</v>
      </c>
      <c r="B117" t="s">
        <v>150</v>
      </c>
      <c r="C117" t="s">
        <v>301</v>
      </c>
      <c r="D117" t="s">
        <v>28</v>
      </c>
      <c r="E117" t="str">
        <f t="shared" si="4"/>
        <v>мужской LC08198.390 синий</v>
      </c>
      <c r="F117" t="s">
        <v>84</v>
      </c>
      <c r="G117" t="s">
        <v>51</v>
      </c>
      <c r="H117" t="s">
        <v>95</v>
      </c>
      <c r="I117" t="s">
        <v>149</v>
      </c>
      <c r="J117" t="s">
        <v>88</v>
      </c>
      <c r="K117" t="s">
        <v>34</v>
      </c>
      <c r="L117" t="s">
        <v>35</v>
      </c>
      <c r="M117" t="s">
        <v>36</v>
      </c>
      <c r="N117" t="s">
        <v>37</v>
      </c>
      <c r="O117" t="s">
        <v>36</v>
      </c>
      <c r="P117" t="s">
        <v>141</v>
      </c>
      <c r="Q117" t="s">
        <v>39</v>
      </c>
      <c r="R117" t="s">
        <v>39</v>
      </c>
      <c r="S117">
        <v>160</v>
      </c>
      <c r="T117" t="s">
        <v>36</v>
      </c>
      <c r="U117" t="s">
        <v>36</v>
      </c>
      <c r="V117" t="s">
        <v>142</v>
      </c>
      <c r="X117">
        <v>2</v>
      </c>
      <c r="Y117" s="2">
        <v>24337.5</v>
      </c>
      <c r="Z117" s="2">
        <v>26771.250000000004</v>
      </c>
      <c r="AA117">
        <v>82000</v>
      </c>
    </row>
    <row r="118" spans="1:27" x14ac:dyDescent="0.3">
      <c r="A118">
        <v>8681668638310</v>
      </c>
      <c r="B118" t="s">
        <v>249</v>
      </c>
      <c r="C118" t="s">
        <v>301</v>
      </c>
      <c r="D118" t="s">
        <v>28</v>
      </c>
      <c r="E118" t="str">
        <f t="shared" si="4"/>
        <v>женский LC08203.120 белый</v>
      </c>
      <c r="F118" t="s">
        <v>29</v>
      </c>
      <c r="G118" t="s">
        <v>181</v>
      </c>
      <c r="H118" t="s">
        <v>75</v>
      </c>
      <c r="I118">
        <v>23</v>
      </c>
      <c r="J118" t="s">
        <v>33</v>
      </c>
      <c r="K118" t="s">
        <v>34</v>
      </c>
      <c r="L118" t="s">
        <v>35</v>
      </c>
      <c r="M118" t="s">
        <v>36</v>
      </c>
      <c r="N118" t="s">
        <v>37</v>
      </c>
      <c r="O118" t="s">
        <v>36</v>
      </c>
      <c r="P118" t="s">
        <v>38</v>
      </c>
      <c r="Q118" t="s">
        <v>39</v>
      </c>
      <c r="R118" t="s">
        <v>39</v>
      </c>
      <c r="T118" t="s">
        <v>36</v>
      </c>
      <c r="U118" t="s">
        <v>36</v>
      </c>
      <c r="V118" t="s">
        <v>40</v>
      </c>
      <c r="W118" t="s">
        <v>156</v>
      </c>
      <c r="X118">
        <v>1</v>
      </c>
      <c r="Y118" s="2">
        <v>11269.5</v>
      </c>
      <c r="Z118" s="2">
        <v>12396.45</v>
      </c>
      <c r="AA118">
        <v>40000</v>
      </c>
    </row>
    <row r="119" spans="1:27" x14ac:dyDescent="0.3">
      <c r="A119">
        <v>8681668638327</v>
      </c>
      <c r="B119" t="s">
        <v>250</v>
      </c>
      <c r="C119" t="s">
        <v>301</v>
      </c>
      <c r="D119" t="s">
        <v>28</v>
      </c>
      <c r="E119" t="str">
        <f t="shared" si="4"/>
        <v>женский LC08203.170 зеленый</v>
      </c>
      <c r="F119" t="s">
        <v>29</v>
      </c>
      <c r="G119" t="s">
        <v>181</v>
      </c>
      <c r="H119" t="s">
        <v>73</v>
      </c>
      <c r="I119">
        <v>23</v>
      </c>
      <c r="J119" t="s">
        <v>33</v>
      </c>
      <c r="K119" t="s">
        <v>34</v>
      </c>
      <c r="L119" t="s">
        <v>35</v>
      </c>
      <c r="M119" t="s">
        <v>36</v>
      </c>
      <c r="N119" t="s">
        <v>37</v>
      </c>
      <c r="O119" t="s">
        <v>36</v>
      </c>
      <c r="P119" t="s">
        <v>38</v>
      </c>
      <c r="Q119" t="s">
        <v>39</v>
      </c>
      <c r="R119" t="s">
        <v>39</v>
      </c>
      <c r="T119" t="s">
        <v>36</v>
      </c>
      <c r="U119" t="s">
        <v>36</v>
      </c>
      <c r="V119" t="s">
        <v>40</v>
      </c>
      <c r="W119" t="s">
        <v>156</v>
      </c>
      <c r="X119">
        <v>3</v>
      </c>
      <c r="Y119" s="2">
        <v>11269.5</v>
      </c>
      <c r="Z119" s="2">
        <v>12396.45</v>
      </c>
      <c r="AA119">
        <v>40000</v>
      </c>
    </row>
    <row r="120" spans="1:27" x14ac:dyDescent="0.3">
      <c r="A120">
        <v>8681668638334</v>
      </c>
      <c r="B120" t="s">
        <v>251</v>
      </c>
      <c r="C120" t="s">
        <v>301</v>
      </c>
      <c r="D120" t="s">
        <v>28</v>
      </c>
      <c r="E120" t="str">
        <f t="shared" si="4"/>
        <v>женский LC08203.220 белый</v>
      </c>
      <c r="F120" t="s">
        <v>29</v>
      </c>
      <c r="G120" t="s">
        <v>184</v>
      </c>
      <c r="H120" t="s">
        <v>75</v>
      </c>
      <c r="I120">
        <v>23</v>
      </c>
      <c r="J120" t="s">
        <v>33</v>
      </c>
      <c r="K120" t="s">
        <v>34</v>
      </c>
      <c r="L120" t="s">
        <v>35</v>
      </c>
      <c r="M120" t="s">
        <v>36</v>
      </c>
      <c r="N120" t="s">
        <v>37</v>
      </c>
      <c r="O120" t="s">
        <v>36</v>
      </c>
      <c r="P120" t="s">
        <v>38</v>
      </c>
      <c r="Q120" t="s">
        <v>39</v>
      </c>
      <c r="R120" t="s">
        <v>39</v>
      </c>
      <c r="T120" t="s">
        <v>36</v>
      </c>
      <c r="U120" t="s">
        <v>36</v>
      </c>
      <c r="V120" t="s">
        <v>40</v>
      </c>
      <c r="W120" t="s">
        <v>156</v>
      </c>
      <c r="X120">
        <v>3</v>
      </c>
      <c r="Y120" s="2">
        <v>11269.5</v>
      </c>
      <c r="Z120" s="2">
        <v>12396.45</v>
      </c>
      <c r="AA120">
        <v>40000</v>
      </c>
    </row>
    <row r="121" spans="1:27" x14ac:dyDescent="0.3">
      <c r="A121">
        <v>8681668638341</v>
      </c>
      <c r="B121" t="s">
        <v>252</v>
      </c>
      <c r="C121" t="s">
        <v>301</v>
      </c>
      <c r="D121" t="s">
        <v>28</v>
      </c>
      <c r="E121" t="str">
        <f t="shared" si="4"/>
        <v>женский LC08203.300 зеленый</v>
      </c>
      <c r="F121" t="s">
        <v>29</v>
      </c>
      <c r="G121" t="s">
        <v>51</v>
      </c>
      <c r="H121" t="s">
        <v>73</v>
      </c>
      <c r="I121">
        <v>23</v>
      </c>
      <c r="J121" t="s">
        <v>33</v>
      </c>
      <c r="K121" t="s">
        <v>34</v>
      </c>
      <c r="L121" t="s">
        <v>35</v>
      </c>
      <c r="M121" t="s">
        <v>36</v>
      </c>
      <c r="N121" t="s">
        <v>37</v>
      </c>
      <c r="O121" t="s">
        <v>36</v>
      </c>
      <c r="P121" t="s">
        <v>38</v>
      </c>
      <c r="Q121" t="s">
        <v>39</v>
      </c>
      <c r="R121" t="s">
        <v>39</v>
      </c>
      <c r="T121" t="s">
        <v>36</v>
      </c>
      <c r="U121" t="s">
        <v>36</v>
      </c>
      <c r="V121" t="s">
        <v>40</v>
      </c>
      <c r="W121" t="s">
        <v>156</v>
      </c>
      <c r="X121">
        <v>2</v>
      </c>
      <c r="Y121" s="2">
        <v>9636</v>
      </c>
      <c r="Z121" s="2">
        <v>10599.6</v>
      </c>
      <c r="AA121">
        <v>35000</v>
      </c>
    </row>
    <row r="122" spans="1:27" x14ac:dyDescent="0.3">
      <c r="A122">
        <v>8681668638358</v>
      </c>
      <c r="B122" t="s">
        <v>253</v>
      </c>
      <c r="C122" t="s">
        <v>301</v>
      </c>
      <c r="D122" t="s">
        <v>28</v>
      </c>
      <c r="E122" t="str">
        <f t="shared" si="4"/>
        <v>женский LC08203.320 белый</v>
      </c>
      <c r="F122" t="s">
        <v>29</v>
      </c>
      <c r="G122" t="s">
        <v>51</v>
      </c>
      <c r="H122" t="s">
        <v>75</v>
      </c>
      <c r="I122">
        <v>23</v>
      </c>
      <c r="J122" t="s">
        <v>33</v>
      </c>
      <c r="K122" t="s">
        <v>34</v>
      </c>
      <c r="L122" t="s">
        <v>35</v>
      </c>
      <c r="M122" t="s">
        <v>36</v>
      </c>
      <c r="N122" t="s">
        <v>37</v>
      </c>
      <c r="O122" t="s">
        <v>36</v>
      </c>
      <c r="P122" t="s">
        <v>38</v>
      </c>
      <c r="Q122" t="s">
        <v>39</v>
      </c>
      <c r="R122" t="s">
        <v>39</v>
      </c>
      <c r="T122" t="s">
        <v>36</v>
      </c>
      <c r="U122" t="s">
        <v>36</v>
      </c>
      <c r="V122" t="s">
        <v>40</v>
      </c>
      <c r="W122" t="s">
        <v>156</v>
      </c>
      <c r="X122">
        <v>2</v>
      </c>
      <c r="Y122" s="2">
        <v>9636</v>
      </c>
      <c r="Z122" s="2">
        <v>10599.6</v>
      </c>
      <c r="AA122">
        <v>35000</v>
      </c>
    </row>
    <row r="123" spans="1:27" x14ac:dyDescent="0.3">
      <c r="A123">
        <v>8681668639447</v>
      </c>
      <c r="B123" t="s">
        <v>254</v>
      </c>
      <c r="C123" t="s">
        <v>301</v>
      </c>
      <c r="D123" t="s">
        <v>28</v>
      </c>
      <c r="E123" t="str">
        <f t="shared" si="4"/>
        <v>женский LC08226.120 белый</v>
      </c>
      <c r="F123" t="s">
        <v>29</v>
      </c>
      <c r="G123" t="s">
        <v>181</v>
      </c>
      <c r="H123" t="s">
        <v>75</v>
      </c>
      <c r="I123">
        <v>30</v>
      </c>
      <c r="J123" t="s">
        <v>33</v>
      </c>
      <c r="K123" t="s">
        <v>34</v>
      </c>
      <c r="L123" t="s">
        <v>35</v>
      </c>
      <c r="M123" t="s">
        <v>36</v>
      </c>
      <c r="N123" t="s">
        <v>37</v>
      </c>
      <c r="O123" t="s">
        <v>36</v>
      </c>
      <c r="P123" t="s">
        <v>38</v>
      </c>
      <c r="Q123" t="s">
        <v>39</v>
      </c>
      <c r="R123" t="s">
        <v>39</v>
      </c>
      <c r="T123" t="s">
        <v>36</v>
      </c>
      <c r="U123" t="s">
        <v>36</v>
      </c>
      <c r="V123" t="s">
        <v>40</v>
      </c>
      <c r="W123" t="s">
        <v>197</v>
      </c>
      <c r="X123">
        <v>2</v>
      </c>
      <c r="Y123" s="2">
        <v>11269.5</v>
      </c>
      <c r="Z123" s="2">
        <v>12396.45</v>
      </c>
      <c r="AA123">
        <v>40000</v>
      </c>
    </row>
    <row r="124" spans="1:27" x14ac:dyDescent="0.3">
      <c r="A124">
        <v>8681668639454</v>
      </c>
      <c r="B124" t="s">
        <v>255</v>
      </c>
      <c r="C124" t="s">
        <v>301</v>
      </c>
      <c r="D124" t="s">
        <v>28</v>
      </c>
      <c r="E124" t="str">
        <f t="shared" si="4"/>
        <v>женский LC08226.170 зеленый</v>
      </c>
      <c r="F124" t="s">
        <v>29</v>
      </c>
      <c r="G124" t="s">
        <v>181</v>
      </c>
      <c r="H124" t="s">
        <v>73</v>
      </c>
      <c r="I124">
        <v>30</v>
      </c>
      <c r="J124" t="s">
        <v>33</v>
      </c>
      <c r="K124" t="s">
        <v>34</v>
      </c>
      <c r="L124" t="s">
        <v>35</v>
      </c>
      <c r="M124" t="s">
        <v>36</v>
      </c>
      <c r="N124" t="s">
        <v>37</v>
      </c>
      <c r="O124" t="s">
        <v>36</v>
      </c>
      <c r="P124" t="s">
        <v>38</v>
      </c>
      <c r="Q124" t="s">
        <v>39</v>
      </c>
      <c r="R124" t="s">
        <v>39</v>
      </c>
      <c r="T124" t="s">
        <v>36</v>
      </c>
      <c r="U124" t="s">
        <v>36</v>
      </c>
      <c r="V124" t="s">
        <v>40</v>
      </c>
      <c r="W124" t="s">
        <v>197</v>
      </c>
      <c r="X124">
        <v>2</v>
      </c>
      <c r="Y124" s="2">
        <v>11269.5</v>
      </c>
      <c r="Z124" s="2">
        <v>12396.45</v>
      </c>
      <c r="AA124">
        <v>40000</v>
      </c>
    </row>
    <row r="125" spans="1:27" x14ac:dyDescent="0.3">
      <c r="A125">
        <v>8681668639478</v>
      </c>
      <c r="B125" t="s">
        <v>256</v>
      </c>
      <c r="C125" t="s">
        <v>301</v>
      </c>
      <c r="D125" t="s">
        <v>28</v>
      </c>
      <c r="E125" t="str">
        <f t="shared" ref="E125:E155" si="5">CONCATENATE(F125," ",B125," ",H125)</f>
        <v>женский LC08226.320 белый</v>
      </c>
      <c r="F125" t="s">
        <v>29</v>
      </c>
      <c r="G125" t="s">
        <v>51</v>
      </c>
      <c r="H125" t="s">
        <v>75</v>
      </c>
      <c r="I125">
        <v>30</v>
      </c>
      <c r="J125" t="s">
        <v>33</v>
      </c>
      <c r="K125" t="s">
        <v>34</v>
      </c>
      <c r="L125" t="s">
        <v>35</v>
      </c>
      <c r="M125" t="s">
        <v>36</v>
      </c>
      <c r="N125" t="s">
        <v>37</v>
      </c>
      <c r="O125" t="s">
        <v>36</v>
      </c>
      <c r="P125" t="s">
        <v>38</v>
      </c>
      <c r="Q125" t="s">
        <v>39</v>
      </c>
      <c r="R125" t="s">
        <v>39</v>
      </c>
      <c r="T125" t="s">
        <v>36</v>
      </c>
      <c r="U125" t="s">
        <v>36</v>
      </c>
      <c r="V125" t="s">
        <v>40</v>
      </c>
      <c r="W125" t="s">
        <v>197</v>
      </c>
      <c r="X125">
        <v>2</v>
      </c>
      <c r="Y125" s="2">
        <v>9636</v>
      </c>
      <c r="Z125" s="2">
        <v>10599.6</v>
      </c>
      <c r="AA125">
        <v>35000</v>
      </c>
    </row>
    <row r="126" spans="1:27" x14ac:dyDescent="0.3">
      <c r="A126">
        <v>8681668639539</v>
      </c>
      <c r="B126" t="s">
        <v>257</v>
      </c>
      <c r="C126" t="s">
        <v>301</v>
      </c>
      <c r="D126" t="s">
        <v>28</v>
      </c>
      <c r="E126" t="str">
        <f t="shared" si="5"/>
        <v>мужской LC08227.330 серебристый</v>
      </c>
      <c r="F126" t="s">
        <v>84</v>
      </c>
      <c r="G126" t="s">
        <v>51</v>
      </c>
      <c r="H126" t="s">
        <v>51</v>
      </c>
      <c r="I126">
        <v>48</v>
      </c>
      <c r="J126" t="s">
        <v>88</v>
      </c>
      <c r="K126" t="s">
        <v>34</v>
      </c>
      <c r="L126" t="s">
        <v>46</v>
      </c>
      <c r="M126" t="s">
        <v>36</v>
      </c>
      <c r="N126" t="s">
        <v>37</v>
      </c>
      <c r="O126" t="s">
        <v>36</v>
      </c>
      <c r="P126" t="s">
        <v>141</v>
      </c>
      <c r="Q126" t="s">
        <v>39</v>
      </c>
      <c r="R126" t="s">
        <v>39</v>
      </c>
      <c r="T126" t="s">
        <v>36</v>
      </c>
      <c r="U126" t="s">
        <v>36</v>
      </c>
      <c r="V126" t="s">
        <v>142</v>
      </c>
      <c r="W126" t="s">
        <v>156</v>
      </c>
      <c r="X126">
        <v>2</v>
      </c>
      <c r="Y126" s="2">
        <v>25971</v>
      </c>
      <c r="Z126" s="2">
        <v>28568.100000000002</v>
      </c>
      <c r="AA126">
        <v>87000</v>
      </c>
    </row>
    <row r="127" spans="1:27" x14ac:dyDescent="0.3">
      <c r="A127">
        <v>8681668639546</v>
      </c>
      <c r="B127" t="s">
        <v>258</v>
      </c>
      <c r="C127" t="s">
        <v>301</v>
      </c>
      <c r="D127" t="s">
        <v>28</v>
      </c>
      <c r="E127" t="str">
        <f t="shared" si="5"/>
        <v>мужской LC08227.350 серый</v>
      </c>
      <c r="F127" t="s">
        <v>84</v>
      </c>
      <c r="G127" t="s">
        <v>51</v>
      </c>
      <c r="H127" t="s">
        <v>152</v>
      </c>
      <c r="I127">
        <v>48</v>
      </c>
      <c r="J127" t="s">
        <v>88</v>
      </c>
      <c r="K127" t="s">
        <v>34</v>
      </c>
      <c r="L127" t="s">
        <v>46</v>
      </c>
      <c r="M127" t="s">
        <v>36</v>
      </c>
      <c r="N127" t="s">
        <v>37</v>
      </c>
      <c r="O127" t="s">
        <v>36</v>
      </c>
      <c r="P127" t="s">
        <v>141</v>
      </c>
      <c r="Q127" t="s">
        <v>39</v>
      </c>
      <c r="R127" t="s">
        <v>39</v>
      </c>
      <c r="T127" t="s">
        <v>36</v>
      </c>
      <c r="U127" t="s">
        <v>36</v>
      </c>
      <c r="V127" t="s">
        <v>142</v>
      </c>
      <c r="W127" t="s">
        <v>156</v>
      </c>
      <c r="X127">
        <v>1</v>
      </c>
      <c r="Y127" s="2">
        <v>25971</v>
      </c>
      <c r="Z127" s="2">
        <v>28568.100000000002</v>
      </c>
      <c r="AA127">
        <v>87000</v>
      </c>
    </row>
    <row r="128" spans="1:27" x14ac:dyDescent="0.3">
      <c r="A128">
        <v>8681668639553</v>
      </c>
      <c r="B128" t="s">
        <v>259</v>
      </c>
      <c r="C128" t="s">
        <v>301</v>
      </c>
      <c r="D128" t="s">
        <v>28</v>
      </c>
      <c r="E128" t="str">
        <f t="shared" si="5"/>
        <v>мужской LC08227.360 золотистый</v>
      </c>
      <c r="F128" t="s">
        <v>84</v>
      </c>
      <c r="G128" t="s">
        <v>51</v>
      </c>
      <c r="H128" t="s">
        <v>181</v>
      </c>
      <c r="I128">
        <v>48</v>
      </c>
      <c r="J128" t="s">
        <v>88</v>
      </c>
      <c r="K128" t="s">
        <v>34</v>
      </c>
      <c r="L128" t="s">
        <v>46</v>
      </c>
      <c r="M128" t="s">
        <v>36</v>
      </c>
      <c r="N128" t="s">
        <v>37</v>
      </c>
      <c r="O128" t="s">
        <v>36</v>
      </c>
      <c r="P128" t="s">
        <v>141</v>
      </c>
      <c r="Q128" t="s">
        <v>39</v>
      </c>
      <c r="R128" t="s">
        <v>39</v>
      </c>
      <c r="T128" t="s">
        <v>36</v>
      </c>
      <c r="U128" t="s">
        <v>36</v>
      </c>
      <c r="V128" t="s">
        <v>142</v>
      </c>
      <c r="W128" t="s">
        <v>156</v>
      </c>
      <c r="X128">
        <v>2</v>
      </c>
      <c r="Y128" s="2">
        <v>25971</v>
      </c>
      <c r="Z128" s="2">
        <v>28568.100000000002</v>
      </c>
      <c r="AA128">
        <v>87000</v>
      </c>
    </row>
    <row r="129" spans="1:27" x14ac:dyDescent="0.3">
      <c r="A129">
        <v>8681668639560</v>
      </c>
      <c r="B129" t="s">
        <v>260</v>
      </c>
      <c r="C129" t="s">
        <v>301</v>
      </c>
      <c r="D129" t="s">
        <v>28</v>
      </c>
      <c r="E129" t="str">
        <f t="shared" si="5"/>
        <v>мужской LC08227.390 синий</v>
      </c>
      <c r="F129" t="s">
        <v>84</v>
      </c>
      <c r="G129" t="s">
        <v>51</v>
      </c>
      <c r="H129" t="s">
        <v>95</v>
      </c>
      <c r="I129">
        <v>48</v>
      </c>
      <c r="J129" t="s">
        <v>88</v>
      </c>
      <c r="K129" t="s">
        <v>34</v>
      </c>
      <c r="L129" t="s">
        <v>46</v>
      </c>
      <c r="M129" t="s">
        <v>36</v>
      </c>
      <c r="N129" t="s">
        <v>37</v>
      </c>
      <c r="O129" t="s">
        <v>36</v>
      </c>
      <c r="P129" t="s">
        <v>141</v>
      </c>
      <c r="Q129" t="s">
        <v>39</v>
      </c>
      <c r="R129" t="s">
        <v>39</v>
      </c>
      <c r="T129" t="s">
        <v>36</v>
      </c>
      <c r="U129" t="s">
        <v>36</v>
      </c>
      <c r="V129" t="s">
        <v>142</v>
      </c>
      <c r="W129" t="s">
        <v>156</v>
      </c>
      <c r="X129">
        <v>2</v>
      </c>
      <c r="Y129" s="2">
        <v>25971</v>
      </c>
      <c r="Z129" s="2">
        <v>28568.100000000002</v>
      </c>
      <c r="AA129">
        <v>87000</v>
      </c>
    </row>
    <row r="130" spans="1:27" x14ac:dyDescent="0.3">
      <c r="A130">
        <v>8681668639591</v>
      </c>
      <c r="B130" t="s">
        <v>261</v>
      </c>
      <c r="C130" t="s">
        <v>301</v>
      </c>
      <c r="D130" t="s">
        <v>28</v>
      </c>
      <c r="E130" t="str">
        <f t="shared" si="5"/>
        <v>мужской LC08228.300 фиолетовый</v>
      </c>
      <c r="F130" t="s">
        <v>84</v>
      </c>
      <c r="G130" t="s">
        <v>51</v>
      </c>
      <c r="H130" t="s">
        <v>179</v>
      </c>
      <c r="I130">
        <v>44</v>
      </c>
      <c r="J130" t="s">
        <v>88</v>
      </c>
      <c r="K130" t="s">
        <v>34</v>
      </c>
      <c r="L130" t="s">
        <v>46</v>
      </c>
      <c r="M130" t="s">
        <v>36</v>
      </c>
      <c r="N130" t="s">
        <v>37</v>
      </c>
      <c r="O130" t="s">
        <v>36</v>
      </c>
      <c r="P130" t="s">
        <v>141</v>
      </c>
      <c r="Q130" t="s">
        <v>39</v>
      </c>
      <c r="R130" t="s">
        <v>39</v>
      </c>
      <c r="T130" t="s">
        <v>36</v>
      </c>
      <c r="U130" t="s">
        <v>36</v>
      </c>
      <c r="V130" t="s">
        <v>142</v>
      </c>
      <c r="W130" t="s">
        <v>156</v>
      </c>
      <c r="X130">
        <v>2</v>
      </c>
      <c r="Y130" s="2">
        <v>24337.5</v>
      </c>
      <c r="Z130" s="2">
        <v>26771.250000000004</v>
      </c>
      <c r="AA130">
        <v>81000</v>
      </c>
    </row>
    <row r="131" spans="1:27" x14ac:dyDescent="0.3">
      <c r="A131">
        <v>8681668639607</v>
      </c>
      <c r="B131" t="s">
        <v>262</v>
      </c>
      <c r="C131" t="s">
        <v>301</v>
      </c>
      <c r="D131" t="s">
        <v>28</v>
      </c>
      <c r="E131" t="str">
        <f t="shared" si="5"/>
        <v>мужской LC08228.330 серебристый</v>
      </c>
      <c r="F131" t="s">
        <v>84</v>
      </c>
      <c r="G131" t="s">
        <v>51</v>
      </c>
      <c r="H131" t="s">
        <v>51</v>
      </c>
      <c r="I131">
        <v>44</v>
      </c>
      <c r="J131" t="s">
        <v>88</v>
      </c>
      <c r="K131" t="s">
        <v>34</v>
      </c>
      <c r="L131" t="s">
        <v>46</v>
      </c>
      <c r="M131" t="s">
        <v>36</v>
      </c>
      <c r="N131" t="s">
        <v>37</v>
      </c>
      <c r="O131" t="s">
        <v>36</v>
      </c>
      <c r="P131" t="s">
        <v>141</v>
      </c>
      <c r="Q131" t="s">
        <v>39</v>
      </c>
      <c r="R131" t="s">
        <v>39</v>
      </c>
      <c r="T131" t="s">
        <v>36</v>
      </c>
      <c r="U131" t="s">
        <v>36</v>
      </c>
      <c r="V131" t="s">
        <v>142</v>
      </c>
      <c r="W131" t="s">
        <v>156</v>
      </c>
      <c r="X131">
        <v>2</v>
      </c>
      <c r="Y131" s="2">
        <v>24337.5</v>
      </c>
      <c r="Z131" s="2">
        <v>26771.250000000004</v>
      </c>
      <c r="AA131">
        <v>81000</v>
      </c>
    </row>
    <row r="132" spans="1:27" x14ac:dyDescent="0.3">
      <c r="A132">
        <v>8681668639614</v>
      </c>
      <c r="B132" t="s">
        <v>263</v>
      </c>
      <c r="C132" t="s">
        <v>301</v>
      </c>
      <c r="D132" t="s">
        <v>28</v>
      </c>
      <c r="E132" t="str">
        <f t="shared" si="5"/>
        <v>мужской LC08228.350 черный</v>
      </c>
      <c r="F132" t="s">
        <v>84</v>
      </c>
      <c r="G132" t="s">
        <v>51</v>
      </c>
      <c r="H132" t="s">
        <v>100</v>
      </c>
      <c r="I132">
        <v>44</v>
      </c>
      <c r="J132" t="s">
        <v>88</v>
      </c>
      <c r="K132" t="s">
        <v>34</v>
      </c>
      <c r="L132" t="s">
        <v>46</v>
      </c>
      <c r="M132" t="s">
        <v>36</v>
      </c>
      <c r="N132" t="s">
        <v>37</v>
      </c>
      <c r="O132" t="s">
        <v>36</v>
      </c>
      <c r="P132" t="s">
        <v>141</v>
      </c>
      <c r="Q132" t="s">
        <v>39</v>
      </c>
      <c r="R132" t="s">
        <v>39</v>
      </c>
      <c r="T132" t="s">
        <v>36</v>
      </c>
      <c r="U132" t="s">
        <v>36</v>
      </c>
      <c r="V132" t="s">
        <v>142</v>
      </c>
      <c r="W132" t="s">
        <v>156</v>
      </c>
      <c r="X132">
        <v>2</v>
      </c>
      <c r="Y132" s="2">
        <v>24337.5</v>
      </c>
      <c r="Z132" s="2">
        <v>26771.250000000004</v>
      </c>
      <c r="AA132">
        <v>81000</v>
      </c>
    </row>
    <row r="133" spans="1:27" x14ac:dyDescent="0.3">
      <c r="A133">
        <v>8681668639621</v>
      </c>
      <c r="B133" t="s">
        <v>264</v>
      </c>
      <c r="C133" t="s">
        <v>301</v>
      </c>
      <c r="D133" t="s">
        <v>28</v>
      </c>
      <c r="E133" t="str">
        <f t="shared" si="5"/>
        <v>мужской LC08228.370 зеленый</v>
      </c>
      <c r="F133" t="s">
        <v>84</v>
      </c>
      <c r="G133" t="s">
        <v>51</v>
      </c>
      <c r="H133" t="s">
        <v>73</v>
      </c>
      <c r="I133">
        <v>44</v>
      </c>
      <c r="J133" t="s">
        <v>88</v>
      </c>
      <c r="K133" t="s">
        <v>34</v>
      </c>
      <c r="L133" t="s">
        <v>46</v>
      </c>
      <c r="M133" t="s">
        <v>36</v>
      </c>
      <c r="N133" t="s">
        <v>37</v>
      </c>
      <c r="O133" t="s">
        <v>36</v>
      </c>
      <c r="P133" t="s">
        <v>141</v>
      </c>
      <c r="Q133" t="s">
        <v>39</v>
      </c>
      <c r="R133" t="s">
        <v>39</v>
      </c>
      <c r="T133" t="s">
        <v>36</v>
      </c>
      <c r="U133" t="s">
        <v>36</v>
      </c>
      <c r="V133" t="s">
        <v>142</v>
      </c>
      <c r="W133" t="s">
        <v>156</v>
      </c>
      <c r="X133">
        <v>2</v>
      </c>
      <c r="Y133" s="2">
        <v>24337.5</v>
      </c>
      <c r="Z133" s="2">
        <v>26771.250000000004</v>
      </c>
      <c r="AA133">
        <v>81000</v>
      </c>
    </row>
    <row r="134" spans="1:27" x14ac:dyDescent="0.3">
      <c r="A134">
        <v>8681668639638</v>
      </c>
      <c r="B134" t="s">
        <v>265</v>
      </c>
      <c r="C134" t="s">
        <v>301</v>
      </c>
      <c r="D134" t="s">
        <v>28</v>
      </c>
      <c r="E134" t="str">
        <f t="shared" si="5"/>
        <v>мужской LC08228.390 синий</v>
      </c>
      <c r="F134" t="s">
        <v>84</v>
      </c>
      <c r="G134" t="s">
        <v>51</v>
      </c>
      <c r="H134" t="s">
        <v>95</v>
      </c>
      <c r="I134">
        <v>44</v>
      </c>
      <c r="J134" t="s">
        <v>88</v>
      </c>
      <c r="K134" t="s">
        <v>34</v>
      </c>
      <c r="L134" t="s">
        <v>46</v>
      </c>
      <c r="M134" t="s">
        <v>36</v>
      </c>
      <c r="N134" t="s">
        <v>37</v>
      </c>
      <c r="O134" t="s">
        <v>36</v>
      </c>
      <c r="P134" t="s">
        <v>141</v>
      </c>
      <c r="Q134" t="s">
        <v>39</v>
      </c>
      <c r="R134" t="s">
        <v>39</v>
      </c>
      <c r="T134" t="s">
        <v>36</v>
      </c>
      <c r="U134" t="s">
        <v>36</v>
      </c>
      <c r="V134" t="s">
        <v>142</v>
      </c>
      <c r="W134" t="s">
        <v>156</v>
      </c>
      <c r="X134">
        <v>2</v>
      </c>
      <c r="Y134" s="2">
        <v>24337.5</v>
      </c>
      <c r="Z134" s="2">
        <v>26771.250000000004</v>
      </c>
      <c r="AA134">
        <v>81000</v>
      </c>
    </row>
    <row r="135" spans="1:27" x14ac:dyDescent="0.3">
      <c r="A135">
        <v>8681668639669</v>
      </c>
      <c r="B135" t="s">
        <v>266</v>
      </c>
      <c r="C135" t="s">
        <v>301</v>
      </c>
      <c r="D135" t="s">
        <v>28</v>
      </c>
      <c r="E135" t="str">
        <f t="shared" si="5"/>
        <v>мужской LC08229.330 серебристый</v>
      </c>
      <c r="F135" t="s">
        <v>84</v>
      </c>
      <c r="G135" t="s">
        <v>51</v>
      </c>
      <c r="H135" t="s">
        <v>51</v>
      </c>
      <c r="I135">
        <v>45</v>
      </c>
      <c r="J135" t="s">
        <v>88</v>
      </c>
      <c r="K135" t="s">
        <v>34</v>
      </c>
      <c r="L135" t="s">
        <v>46</v>
      </c>
      <c r="M135" t="s">
        <v>36</v>
      </c>
      <c r="N135" t="s">
        <v>37</v>
      </c>
      <c r="O135" t="s">
        <v>36</v>
      </c>
      <c r="P135" t="s">
        <v>141</v>
      </c>
      <c r="Q135" t="s">
        <v>39</v>
      </c>
      <c r="R135" t="s">
        <v>39</v>
      </c>
      <c r="T135" t="s">
        <v>36</v>
      </c>
      <c r="U135" t="s">
        <v>36</v>
      </c>
      <c r="V135" t="s">
        <v>142</v>
      </c>
      <c r="W135" t="s">
        <v>156</v>
      </c>
      <c r="X135">
        <v>2</v>
      </c>
      <c r="Y135" s="2">
        <v>25971</v>
      </c>
      <c r="Z135" s="2">
        <v>28568.100000000002</v>
      </c>
      <c r="AA135">
        <v>87000</v>
      </c>
    </row>
    <row r="136" spans="1:27" x14ac:dyDescent="0.3">
      <c r="A136">
        <v>8681668639676</v>
      </c>
      <c r="B136" t="s">
        <v>267</v>
      </c>
      <c r="C136" t="s">
        <v>301</v>
      </c>
      <c r="D136" t="s">
        <v>28</v>
      </c>
      <c r="E136" t="str">
        <f t="shared" si="5"/>
        <v>мужской LC08229.340 черный</v>
      </c>
      <c r="F136" t="s">
        <v>84</v>
      </c>
      <c r="G136" t="s">
        <v>51</v>
      </c>
      <c r="H136" t="s">
        <v>100</v>
      </c>
      <c r="I136">
        <v>45</v>
      </c>
      <c r="J136" t="s">
        <v>88</v>
      </c>
      <c r="K136" t="s">
        <v>34</v>
      </c>
      <c r="L136" t="s">
        <v>46</v>
      </c>
      <c r="M136" t="s">
        <v>36</v>
      </c>
      <c r="N136" t="s">
        <v>37</v>
      </c>
      <c r="O136" t="s">
        <v>36</v>
      </c>
      <c r="P136" t="s">
        <v>141</v>
      </c>
      <c r="Q136" t="s">
        <v>39</v>
      </c>
      <c r="R136" t="s">
        <v>39</v>
      </c>
      <c r="T136" t="s">
        <v>36</v>
      </c>
      <c r="U136" t="s">
        <v>36</v>
      </c>
      <c r="V136" t="s">
        <v>142</v>
      </c>
      <c r="W136" t="s">
        <v>156</v>
      </c>
      <c r="X136">
        <v>2</v>
      </c>
      <c r="Y136" s="2">
        <v>25971</v>
      </c>
      <c r="Z136" s="2">
        <v>28568.100000000002</v>
      </c>
      <c r="AA136">
        <v>87000</v>
      </c>
    </row>
    <row r="137" spans="1:27" x14ac:dyDescent="0.3">
      <c r="A137">
        <v>8681668639683</v>
      </c>
      <c r="B137" t="s">
        <v>268</v>
      </c>
      <c r="C137" t="s">
        <v>301</v>
      </c>
      <c r="D137" t="s">
        <v>28</v>
      </c>
      <c r="E137" t="str">
        <f t="shared" si="5"/>
        <v>мужской LC08229.370 зеленый</v>
      </c>
      <c r="F137" t="s">
        <v>84</v>
      </c>
      <c r="G137" t="s">
        <v>51</v>
      </c>
      <c r="H137" t="s">
        <v>73</v>
      </c>
      <c r="I137">
        <v>45</v>
      </c>
      <c r="J137" t="s">
        <v>88</v>
      </c>
      <c r="K137" t="s">
        <v>34</v>
      </c>
      <c r="L137" t="s">
        <v>46</v>
      </c>
      <c r="M137" t="s">
        <v>36</v>
      </c>
      <c r="N137" t="s">
        <v>37</v>
      </c>
      <c r="O137" t="s">
        <v>36</v>
      </c>
      <c r="P137" t="s">
        <v>141</v>
      </c>
      <c r="Q137" t="s">
        <v>39</v>
      </c>
      <c r="R137" t="s">
        <v>39</v>
      </c>
      <c r="T137" t="s">
        <v>36</v>
      </c>
      <c r="U137" t="s">
        <v>36</v>
      </c>
      <c r="V137" t="s">
        <v>142</v>
      </c>
      <c r="W137" t="s">
        <v>156</v>
      </c>
      <c r="X137">
        <v>2</v>
      </c>
      <c r="Y137" s="2">
        <v>25971</v>
      </c>
      <c r="Z137" s="2">
        <v>28568.100000000002</v>
      </c>
      <c r="AA137">
        <v>87000</v>
      </c>
    </row>
    <row r="138" spans="1:27" x14ac:dyDescent="0.3">
      <c r="A138">
        <v>8681668639690</v>
      </c>
      <c r="B138" t="s">
        <v>269</v>
      </c>
      <c r="C138" t="s">
        <v>301</v>
      </c>
      <c r="D138" t="s">
        <v>28</v>
      </c>
      <c r="E138" t="str">
        <f t="shared" si="5"/>
        <v>мужской LC08229.390 синий</v>
      </c>
      <c r="F138" t="s">
        <v>84</v>
      </c>
      <c r="G138" t="s">
        <v>51</v>
      </c>
      <c r="H138" t="s">
        <v>95</v>
      </c>
      <c r="I138">
        <v>45</v>
      </c>
      <c r="J138" t="s">
        <v>88</v>
      </c>
      <c r="K138" t="s">
        <v>34</v>
      </c>
      <c r="L138" t="s">
        <v>46</v>
      </c>
      <c r="M138" t="s">
        <v>36</v>
      </c>
      <c r="N138" t="s">
        <v>37</v>
      </c>
      <c r="O138" t="s">
        <v>36</v>
      </c>
      <c r="P138" t="s">
        <v>141</v>
      </c>
      <c r="Q138" t="s">
        <v>39</v>
      </c>
      <c r="R138" t="s">
        <v>39</v>
      </c>
      <c r="T138" t="s">
        <v>36</v>
      </c>
      <c r="U138" t="s">
        <v>36</v>
      </c>
      <c r="V138" t="s">
        <v>142</v>
      </c>
      <c r="W138" t="s">
        <v>156</v>
      </c>
      <c r="X138">
        <v>2</v>
      </c>
      <c r="Y138" s="2">
        <v>25971</v>
      </c>
      <c r="Z138" s="2">
        <v>28568.100000000002</v>
      </c>
      <c r="AA138">
        <v>87000</v>
      </c>
    </row>
    <row r="139" spans="1:27" x14ac:dyDescent="0.3">
      <c r="A139">
        <v>8681668639720</v>
      </c>
      <c r="B139" t="s">
        <v>270</v>
      </c>
      <c r="C139" t="s">
        <v>301</v>
      </c>
      <c r="D139" t="s">
        <v>28</v>
      </c>
      <c r="E139" t="str">
        <f t="shared" si="5"/>
        <v>мужские LC08231.350 черный</v>
      </c>
      <c r="F139" t="s">
        <v>237</v>
      </c>
      <c r="G139" t="s">
        <v>51</v>
      </c>
      <c r="H139" t="s">
        <v>100</v>
      </c>
      <c r="I139">
        <v>42</v>
      </c>
      <c r="J139" t="s">
        <v>88</v>
      </c>
      <c r="K139" t="s">
        <v>34</v>
      </c>
      <c r="L139" t="s">
        <v>46</v>
      </c>
      <c r="M139" t="s">
        <v>36</v>
      </c>
      <c r="N139" t="s">
        <v>37</v>
      </c>
      <c r="O139" t="s">
        <v>106</v>
      </c>
      <c r="P139" t="s">
        <v>38</v>
      </c>
      <c r="Q139" t="s">
        <v>39</v>
      </c>
      <c r="R139" t="s">
        <v>39</v>
      </c>
      <c r="T139" t="s">
        <v>36</v>
      </c>
      <c r="U139" t="s">
        <v>36</v>
      </c>
      <c r="V139" t="s">
        <v>40</v>
      </c>
      <c r="W139" t="s">
        <v>156</v>
      </c>
      <c r="X139">
        <v>1</v>
      </c>
      <c r="Y139" s="2">
        <v>11269.5</v>
      </c>
      <c r="Z139" s="2">
        <v>12396.45</v>
      </c>
      <c r="AA139">
        <v>40000</v>
      </c>
    </row>
    <row r="140" spans="1:27" x14ac:dyDescent="0.3">
      <c r="A140">
        <v>8681668639737</v>
      </c>
      <c r="B140" t="s">
        <v>271</v>
      </c>
      <c r="C140" t="s">
        <v>301</v>
      </c>
      <c r="D140" t="s">
        <v>28</v>
      </c>
      <c r="E140" t="str">
        <f t="shared" si="5"/>
        <v>мужские LC08231.370 зеленый</v>
      </c>
      <c r="F140" t="s">
        <v>237</v>
      </c>
      <c r="G140" t="s">
        <v>51</v>
      </c>
      <c r="H140" t="s">
        <v>73</v>
      </c>
      <c r="I140">
        <v>42</v>
      </c>
      <c r="J140" t="s">
        <v>88</v>
      </c>
      <c r="K140" t="s">
        <v>34</v>
      </c>
      <c r="L140" t="s">
        <v>46</v>
      </c>
      <c r="M140" t="s">
        <v>36</v>
      </c>
      <c r="N140" t="s">
        <v>37</v>
      </c>
      <c r="O140" t="s">
        <v>106</v>
      </c>
      <c r="P140" t="s">
        <v>38</v>
      </c>
      <c r="Q140" t="s">
        <v>39</v>
      </c>
      <c r="R140" t="s">
        <v>39</v>
      </c>
      <c r="T140" t="s">
        <v>36</v>
      </c>
      <c r="U140" t="s">
        <v>36</v>
      </c>
      <c r="V140" t="s">
        <v>40</v>
      </c>
      <c r="W140" t="s">
        <v>156</v>
      </c>
      <c r="X140">
        <v>2</v>
      </c>
      <c r="Y140" s="2">
        <v>11269.5</v>
      </c>
      <c r="Z140" s="2">
        <v>12396.45</v>
      </c>
      <c r="AA140">
        <v>40000</v>
      </c>
    </row>
    <row r="141" spans="1:27" x14ac:dyDescent="0.3">
      <c r="A141">
        <v>8681668639744</v>
      </c>
      <c r="B141" t="s">
        <v>272</v>
      </c>
      <c r="C141" t="s">
        <v>301</v>
      </c>
      <c r="D141" t="s">
        <v>28</v>
      </c>
      <c r="E141" t="str">
        <f t="shared" si="5"/>
        <v>мужские LC08231.390 синий</v>
      </c>
      <c r="F141" t="s">
        <v>237</v>
      </c>
      <c r="G141" t="s">
        <v>51</v>
      </c>
      <c r="H141" t="s">
        <v>95</v>
      </c>
      <c r="I141">
        <v>42</v>
      </c>
      <c r="J141" t="s">
        <v>88</v>
      </c>
      <c r="K141" t="s">
        <v>34</v>
      </c>
      <c r="L141" t="s">
        <v>46</v>
      </c>
      <c r="M141" t="s">
        <v>36</v>
      </c>
      <c r="N141" t="s">
        <v>37</v>
      </c>
      <c r="O141" t="s">
        <v>106</v>
      </c>
      <c r="P141" t="s">
        <v>38</v>
      </c>
      <c r="Q141" t="s">
        <v>39</v>
      </c>
      <c r="R141" t="s">
        <v>39</v>
      </c>
      <c r="T141" t="s">
        <v>36</v>
      </c>
      <c r="U141" t="s">
        <v>36</v>
      </c>
      <c r="V141" t="s">
        <v>40</v>
      </c>
      <c r="W141" t="s">
        <v>156</v>
      </c>
      <c r="X141">
        <v>2</v>
      </c>
      <c r="Y141" s="2">
        <v>11269.5</v>
      </c>
      <c r="Z141" s="2">
        <v>12396.45</v>
      </c>
      <c r="AA141">
        <v>40000</v>
      </c>
    </row>
    <row r="142" spans="1:27" x14ac:dyDescent="0.3">
      <c r="A142">
        <v>8681668639768</v>
      </c>
      <c r="B142" t="s">
        <v>273</v>
      </c>
      <c r="C142" t="s">
        <v>301</v>
      </c>
      <c r="D142" t="s">
        <v>28</v>
      </c>
      <c r="E142" t="str">
        <f t="shared" si="5"/>
        <v>женский LC08232.120 белый</v>
      </c>
      <c r="F142" t="s">
        <v>29</v>
      </c>
      <c r="G142" t="s">
        <v>181</v>
      </c>
      <c r="H142" t="s">
        <v>75</v>
      </c>
      <c r="I142">
        <v>22</v>
      </c>
      <c r="J142" t="s">
        <v>33</v>
      </c>
      <c r="K142" t="s">
        <v>34</v>
      </c>
      <c r="L142" t="s">
        <v>35</v>
      </c>
      <c r="M142" t="s">
        <v>36</v>
      </c>
      <c r="N142" t="s">
        <v>37</v>
      </c>
      <c r="O142" t="s">
        <v>36</v>
      </c>
      <c r="P142" t="s">
        <v>38</v>
      </c>
      <c r="Q142" t="s">
        <v>39</v>
      </c>
      <c r="R142" t="s">
        <v>39</v>
      </c>
      <c r="T142" t="s">
        <v>36</v>
      </c>
      <c r="U142" t="s">
        <v>36</v>
      </c>
      <c r="V142" t="s">
        <v>40</v>
      </c>
      <c r="W142" t="s">
        <v>197</v>
      </c>
      <c r="X142">
        <v>2</v>
      </c>
      <c r="Y142" s="2">
        <v>11269.5</v>
      </c>
      <c r="Z142" s="2">
        <v>12396.45</v>
      </c>
      <c r="AA142">
        <v>40000</v>
      </c>
    </row>
    <row r="143" spans="1:27" x14ac:dyDescent="0.3">
      <c r="A143">
        <v>8681668639775</v>
      </c>
      <c r="B143" t="s">
        <v>274</v>
      </c>
      <c r="C143" t="s">
        <v>301</v>
      </c>
      <c r="D143" t="s">
        <v>28</v>
      </c>
      <c r="E143" t="str">
        <f t="shared" si="5"/>
        <v>женский LC08232.170 зеленый</v>
      </c>
      <c r="F143" t="s">
        <v>29</v>
      </c>
      <c r="G143" t="s">
        <v>181</v>
      </c>
      <c r="H143" t="s">
        <v>73</v>
      </c>
      <c r="I143">
        <v>22</v>
      </c>
      <c r="J143" t="s">
        <v>33</v>
      </c>
      <c r="K143" t="s">
        <v>34</v>
      </c>
      <c r="L143" t="s">
        <v>35</v>
      </c>
      <c r="M143" t="s">
        <v>36</v>
      </c>
      <c r="N143" t="s">
        <v>37</v>
      </c>
      <c r="O143" t="s">
        <v>36</v>
      </c>
      <c r="P143" t="s">
        <v>38</v>
      </c>
      <c r="Q143" t="s">
        <v>39</v>
      </c>
      <c r="R143" t="s">
        <v>39</v>
      </c>
      <c r="T143" t="s">
        <v>36</v>
      </c>
      <c r="U143" t="s">
        <v>36</v>
      </c>
      <c r="V143" t="s">
        <v>40</v>
      </c>
      <c r="W143" t="s">
        <v>197</v>
      </c>
      <c r="X143">
        <v>2</v>
      </c>
      <c r="Y143" s="2">
        <v>11269.5</v>
      </c>
      <c r="Z143" s="2">
        <v>12396.45</v>
      </c>
      <c r="AA143">
        <v>40000</v>
      </c>
    </row>
    <row r="144" spans="1:27" x14ac:dyDescent="0.3">
      <c r="A144">
        <v>8681668639782</v>
      </c>
      <c r="B144" t="s">
        <v>275</v>
      </c>
      <c r="C144" t="s">
        <v>301</v>
      </c>
      <c r="D144" t="s">
        <v>28</v>
      </c>
      <c r="E144" t="str">
        <f t="shared" si="5"/>
        <v>женский LC08232.220 белый</v>
      </c>
      <c r="F144" t="s">
        <v>29</v>
      </c>
      <c r="G144" t="s">
        <v>184</v>
      </c>
      <c r="H144" t="s">
        <v>75</v>
      </c>
      <c r="I144">
        <v>22</v>
      </c>
      <c r="J144" t="s">
        <v>33</v>
      </c>
      <c r="K144" t="s">
        <v>34</v>
      </c>
      <c r="L144" t="s">
        <v>35</v>
      </c>
      <c r="M144" t="s">
        <v>36</v>
      </c>
      <c r="N144" t="s">
        <v>37</v>
      </c>
      <c r="O144" t="s">
        <v>36</v>
      </c>
      <c r="P144" t="s">
        <v>38</v>
      </c>
      <c r="Q144" t="s">
        <v>39</v>
      </c>
      <c r="R144" t="s">
        <v>39</v>
      </c>
      <c r="T144" t="s">
        <v>36</v>
      </c>
      <c r="U144" t="s">
        <v>36</v>
      </c>
      <c r="V144" t="s">
        <v>40</v>
      </c>
      <c r="W144" t="s">
        <v>197</v>
      </c>
      <c r="X144">
        <v>2</v>
      </c>
      <c r="Y144" s="2">
        <v>11269.5</v>
      </c>
      <c r="Z144" s="2">
        <v>12396.45</v>
      </c>
      <c r="AA144">
        <v>40000</v>
      </c>
    </row>
    <row r="145" spans="1:27" x14ac:dyDescent="0.3">
      <c r="A145">
        <v>8681668639805</v>
      </c>
      <c r="B145" t="s">
        <v>276</v>
      </c>
      <c r="C145" t="s">
        <v>301</v>
      </c>
      <c r="D145" t="s">
        <v>28</v>
      </c>
      <c r="E145" t="str">
        <f t="shared" si="5"/>
        <v>женский LC08232.320 белый</v>
      </c>
      <c r="F145" t="s">
        <v>29</v>
      </c>
      <c r="G145" t="s">
        <v>51</v>
      </c>
      <c r="H145" t="s">
        <v>75</v>
      </c>
      <c r="I145">
        <v>22</v>
      </c>
      <c r="J145" t="s">
        <v>33</v>
      </c>
      <c r="K145" t="s">
        <v>34</v>
      </c>
      <c r="L145" t="s">
        <v>35</v>
      </c>
      <c r="M145" t="s">
        <v>36</v>
      </c>
      <c r="N145" t="s">
        <v>37</v>
      </c>
      <c r="O145" t="s">
        <v>36</v>
      </c>
      <c r="P145" t="s">
        <v>38</v>
      </c>
      <c r="Q145" t="s">
        <v>39</v>
      </c>
      <c r="R145" t="s">
        <v>39</v>
      </c>
      <c r="T145" t="s">
        <v>36</v>
      </c>
      <c r="U145" t="s">
        <v>36</v>
      </c>
      <c r="V145" t="s">
        <v>40</v>
      </c>
      <c r="W145" t="s">
        <v>197</v>
      </c>
      <c r="X145">
        <v>3</v>
      </c>
      <c r="Y145" s="2">
        <v>9636</v>
      </c>
      <c r="Z145" s="2">
        <v>10599.6</v>
      </c>
      <c r="AA145">
        <v>35000</v>
      </c>
    </row>
    <row r="146" spans="1:27" x14ac:dyDescent="0.3">
      <c r="A146">
        <v>8681668639867</v>
      </c>
      <c r="B146" t="s">
        <v>277</v>
      </c>
      <c r="C146" t="s">
        <v>301</v>
      </c>
      <c r="D146" t="s">
        <v>28</v>
      </c>
      <c r="E146" t="str">
        <f t="shared" si="5"/>
        <v>мужские LC08234.330 белый</v>
      </c>
      <c r="F146" t="s">
        <v>237</v>
      </c>
      <c r="G146" t="s">
        <v>51</v>
      </c>
      <c r="H146" t="s">
        <v>75</v>
      </c>
      <c r="I146">
        <v>47</v>
      </c>
      <c r="J146" t="s">
        <v>88</v>
      </c>
      <c r="K146" t="s">
        <v>34</v>
      </c>
      <c r="L146" t="s">
        <v>46</v>
      </c>
      <c r="M146" t="s">
        <v>36</v>
      </c>
      <c r="N146" t="s">
        <v>37</v>
      </c>
      <c r="O146" t="s">
        <v>106</v>
      </c>
      <c r="P146" t="s">
        <v>38</v>
      </c>
      <c r="Q146" t="s">
        <v>39</v>
      </c>
      <c r="R146" t="s">
        <v>39</v>
      </c>
      <c r="T146" t="s">
        <v>36</v>
      </c>
      <c r="U146" t="s">
        <v>36</v>
      </c>
      <c r="V146" t="s">
        <v>40</v>
      </c>
      <c r="W146" t="s">
        <v>156</v>
      </c>
      <c r="X146">
        <v>2</v>
      </c>
      <c r="Y146" s="2">
        <v>12903</v>
      </c>
      <c r="Z146" s="2">
        <v>14193.300000000001</v>
      </c>
      <c r="AA146">
        <v>46000</v>
      </c>
    </row>
    <row r="147" spans="1:27" x14ac:dyDescent="0.3">
      <c r="A147">
        <v>8681668639874</v>
      </c>
      <c r="B147" t="s">
        <v>278</v>
      </c>
      <c r="C147" t="s">
        <v>301</v>
      </c>
      <c r="D147" t="s">
        <v>28</v>
      </c>
      <c r="E147" t="str">
        <f t="shared" si="5"/>
        <v>мужские LC08234.350 черный</v>
      </c>
      <c r="F147" t="s">
        <v>237</v>
      </c>
      <c r="G147" t="s">
        <v>51</v>
      </c>
      <c r="H147" t="s">
        <v>100</v>
      </c>
      <c r="I147">
        <v>47</v>
      </c>
      <c r="J147" t="s">
        <v>88</v>
      </c>
      <c r="K147" t="s">
        <v>34</v>
      </c>
      <c r="L147" t="s">
        <v>46</v>
      </c>
      <c r="M147" t="s">
        <v>36</v>
      </c>
      <c r="N147" t="s">
        <v>37</v>
      </c>
      <c r="O147" t="s">
        <v>106</v>
      </c>
      <c r="P147" t="s">
        <v>38</v>
      </c>
      <c r="Q147" t="s">
        <v>39</v>
      </c>
      <c r="R147" t="s">
        <v>39</v>
      </c>
      <c r="T147" t="s">
        <v>36</v>
      </c>
      <c r="U147" t="s">
        <v>36</v>
      </c>
      <c r="V147" t="s">
        <v>40</v>
      </c>
      <c r="W147" t="s">
        <v>156</v>
      </c>
      <c r="X147">
        <v>3</v>
      </c>
      <c r="Y147" s="2">
        <v>12903</v>
      </c>
      <c r="Z147" s="2">
        <v>14193.300000000001</v>
      </c>
      <c r="AA147">
        <v>46000</v>
      </c>
    </row>
    <row r="148" spans="1:27" x14ac:dyDescent="0.3">
      <c r="A148">
        <v>8681668639898</v>
      </c>
      <c r="B148" t="s">
        <v>279</v>
      </c>
      <c r="C148" t="s">
        <v>301</v>
      </c>
      <c r="D148" t="s">
        <v>28</v>
      </c>
      <c r="E148" t="str">
        <f t="shared" si="5"/>
        <v>мужские LC08234.390 синий</v>
      </c>
      <c r="F148" t="s">
        <v>237</v>
      </c>
      <c r="G148" t="s">
        <v>51</v>
      </c>
      <c r="H148" t="s">
        <v>95</v>
      </c>
      <c r="I148">
        <v>47</v>
      </c>
      <c r="J148" t="s">
        <v>88</v>
      </c>
      <c r="K148" t="s">
        <v>34</v>
      </c>
      <c r="L148" t="s">
        <v>46</v>
      </c>
      <c r="M148" t="s">
        <v>36</v>
      </c>
      <c r="N148" t="s">
        <v>37</v>
      </c>
      <c r="O148" t="s">
        <v>106</v>
      </c>
      <c r="P148" t="s">
        <v>38</v>
      </c>
      <c r="Q148" t="s">
        <v>39</v>
      </c>
      <c r="R148" t="s">
        <v>39</v>
      </c>
      <c r="T148" t="s">
        <v>36</v>
      </c>
      <c r="U148" t="s">
        <v>36</v>
      </c>
      <c r="V148" t="s">
        <v>40</v>
      </c>
      <c r="W148" t="s">
        <v>156</v>
      </c>
      <c r="X148">
        <v>1</v>
      </c>
      <c r="Y148" s="2">
        <v>12903</v>
      </c>
      <c r="Z148" s="2">
        <v>14193.300000000001</v>
      </c>
      <c r="AA148">
        <v>46000</v>
      </c>
    </row>
    <row r="149" spans="1:27" x14ac:dyDescent="0.3">
      <c r="A149">
        <v>8681668639997</v>
      </c>
      <c r="B149" t="s">
        <v>280</v>
      </c>
      <c r="C149" t="s">
        <v>301</v>
      </c>
      <c r="D149" t="s">
        <v>28</v>
      </c>
      <c r="E149" t="str">
        <f t="shared" si="5"/>
        <v>мужские LC08237.301 голубой</v>
      </c>
      <c r="F149" t="s">
        <v>237</v>
      </c>
      <c r="G149" t="s">
        <v>100</v>
      </c>
      <c r="H149" t="s">
        <v>31</v>
      </c>
      <c r="I149">
        <v>45</v>
      </c>
      <c r="J149" t="s">
        <v>88</v>
      </c>
      <c r="K149" t="s">
        <v>34</v>
      </c>
      <c r="L149" t="s">
        <v>35</v>
      </c>
      <c r="M149" t="s">
        <v>89</v>
      </c>
      <c r="N149" t="s">
        <v>37</v>
      </c>
      <c r="O149" t="s">
        <v>238</v>
      </c>
      <c r="P149" t="s">
        <v>38</v>
      </c>
      <c r="Q149" t="s">
        <v>132</v>
      </c>
      <c r="R149" t="s">
        <v>39</v>
      </c>
      <c r="T149" t="s">
        <v>36</v>
      </c>
      <c r="U149" t="s">
        <v>36</v>
      </c>
      <c r="V149" t="s">
        <v>40</v>
      </c>
      <c r="W149" t="s">
        <v>156</v>
      </c>
      <c r="X149">
        <v>2</v>
      </c>
      <c r="Y149" s="2">
        <v>12903</v>
      </c>
      <c r="Z149" s="2">
        <v>14193.300000000001</v>
      </c>
      <c r="AA149">
        <v>46000</v>
      </c>
    </row>
    <row r="150" spans="1:27" x14ac:dyDescent="0.3">
      <c r="A150">
        <v>8681668640016</v>
      </c>
      <c r="B150" t="s">
        <v>281</v>
      </c>
      <c r="C150" t="s">
        <v>301</v>
      </c>
      <c r="D150" t="s">
        <v>28</v>
      </c>
      <c r="E150" t="str">
        <f t="shared" si="5"/>
        <v>мужские LC08237.361 серый</v>
      </c>
      <c r="F150" t="s">
        <v>237</v>
      </c>
      <c r="G150" t="s">
        <v>100</v>
      </c>
      <c r="H150" t="s">
        <v>152</v>
      </c>
      <c r="I150">
        <v>45</v>
      </c>
      <c r="J150" t="s">
        <v>88</v>
      </c>
      <c r="K150" t="s">
        <v>34</v>
      </c>
      <c r="L150" t="s">
        <v>35</v>
      </c>
      <c r="M150" t="s">
        <v>89</v>
      </c>
      <c r="N150" t="s">
        <v>37</v>
      </c>
      <c r="O150" t="s">
        <v>238</v>
      </c>
      <c r="P150" t="s">
        <v>38</v>
      </c>
      <c r="Q150" t="s">
        <v>132</v>
      </c>
      <c r="R150" t="s">
        <v>39</v>
      </c>
      <c r="T150" t="s">
        <v>36</v>
      </c>
      <c r="U150" t="s">
        <v>36</v>
      </c>
      <c r="V150" t="s">
        <v>40</v>
      </c>
      <c r="W150" t="s">
        <v>156</v>
      </c>
      <c r="X150">
        <v>2</v>
      </c>
      <c r="Y150" s="2">
        <v>12903</v>
      </c>
      <c r="Z150" s="2">
        <v>14193.300000000001</v>
      </c>
      <c r="AA150">
        <v>46000</v>
      </c>
    </row>
    <row r="151" spans="1:27" x14ac:dyDescent="0.3">
      <c r="A151">
        <v>8681668640023</v>
      </c>
      <c r="B151" t="s">
        <v>282</v>
      </c>
      <c r="C151" t="s">
        <v>301</v>
      </c>
      <c r="D151" t="s">
        <v>28</v>
      </c>
      <c r="E151" t="str">
        <f t="shared" si="5"/>
        <v>мужские LC08237.399 синий</v>
      </c>
      <c r="F151" t="s">
        <v>237</v>
      </c>
      <c r="G151" t="s">
        <v>95</v>
      </c>
      <c r="H151" t="s">
        <v>95</v>
      </c>
      <c r="I151">
        <v>45</v>
      </c>
      <c r="J151" t="s">
        <v>88</v>
      </c>
      <c r="K151" t="s">
        <v>34</v>
      </c>
      <c r="L151" t="s">
        <v>35</v>
      </c>
      <c r="M151" t="s">
        <v>89</v>
      </c>
      <c r="N151" t="s">
        <v>37</v>
      </c>
      <c r="O151" t="s">
        <v>238</v>
      </c>
      <c r="P151" t="s">
        <v>38</v>
      </c>
      <c r="Q151" t="s">
        <v>132</v>
      </c>
      <c r="R151" t="s">
        <v>39</v>
      </c>
      <c r="T151" t="s">
        <v>36</v>
      </c>
      <c r="U151" t="s">
        <v>36</v>
      </c>
      <c r="V151" t="s">
        <v>40</v>
      </c>
      <c r="W151" t="s">
        <v>156</v>
      </c>
      <c r="X151">
        <v>2</v>
      </c>
      <c r="Y151" s="2">
        <v>12903</v>
      </c>
      <c r="Z151" s="2">
        <v>14193.300000000001</v>
      </c>
      <c r="AA151">
        <v>46000</v>
      </c>
    </row>
    <row r="152" spans="1:27" x14ac:dyDescent="0.3">
      <c r="A152">
        <v>8681668640030</v>
      </c>
      <c r="B152" t="s">
        <v>283</v>
      </c>
      <c r="C152" t="s">
        <v>301</v>
      </c>
      <c r="D152" t="s">
        <v>28</v>
      </c>
      <c r="E152" t="str">
        <f t="shared" si="5"/>
        <v>мужские LC08237.433 белый</v>
      </c>
      <c r="F152" t="s">
        <v>237</v>
      </c>
      <c r="G152" t="s">
        <v>75</v>
      </c>
      <c r="H152" t="s">
        <v>75</v>
      </c>
      <c r="I152">
        <v>45</v>
      </c>
      <c r="J152" t="s">
        <v>88</v>
      </c>
      <c r="K152" t="s">
        <v>34</v>
      </c>
      <c r="L152" t="s">
        <v>35</v>
      </c>
      <c r="M152" t="s">
        <v>89</v>
      </c>
      <c r="N152" t="s">
        <v>37</v>
      </c>
      <c r="O152" t="s">
        <v>238</v>
      </c>
      <c r="P152" t="s">
        <v>38</v>
      </c>
      <c r="Q152" t="s">
        <v>132</v>
      </c>
      <c r="R152" t="s">
        <v>39</v>
      </c>
      <c r="T152" t="s">
        <v>36</v>
      </c>
      <c r="U152" t="s">
        <v>36</v>
      </c>
      <c r="V152" t="s">
        <v>40</v>
      </c>
      <c r="W152" t="s">
        <v>156</v>
      </c>
      <c r="X152">
        <v>2</v>
      </c>
      <c r="Y152" s="2">
        <v>12903</v>
      </c>
      <c r="Z152" s="2">
        <v>14193.300000000001</v>
      </c>
      <c r="AA152">
        <v>46000</v>
      </c>
    </row>
    <row r="153" spans="1:27" x14ac:dyDescent="0.3">
      <c r="A153">
        <v>8681668640078</v>
      </c>
      <c r="B153" t="s">
        <v>284</v>
      </c>
      <c r="C153" t="s">
        <v>301</v>
      </c>
      <c r="D153" t="s">
        <v>28</v>
      </c>
      <c r="E153" t="str">
        <f t="shared" si="5"/>
        <v>мужские LC08238.351 черный</v>
      </c>
      <c r="F153" t="s">
        <v>237</v>
      </c>
      <c r="G153" t="s">
        <v>100</v>
      </c>
      <c r="H153" t="s">
        <v>100</v>
      </c>
      <c r="I153">
        <v>45</v>
      </c>
      <c r="J153" t="s">
        <v>88</v>
      </c>
      <c r="K153" t="s">
        <v>34</v>
      </c>
      <c r="L153" t="s">
        <v>46</v>
      </c>
      <c r="M153" t="s">
        <v>89</v>
      </c>
      <c r="N153" t="s">
        <v>37</v>
      </c>
      <c r="O153" t="s">
        <v>285</v>
      </c>
      <c r="P153" t="s">
        <v>38</v>
      </c>
      <c r="Q153" t="s">
        <v>132</v>
      </c>
      <c r="R153" t="s">
        <v>39</v>
      </c>
      <c r="T153" t="s">
        <v>36</v>
      </c>
      <c r="U153" t="s">
        <v>36</v>
      </c>
      <c r="V153" t="s">
        <v>40</v>
      </c>
      <c r="W153" t="s">
        <v>156</v>
      </c>
      <c r="X153">
        <v>1</v>
      </c>
      <c r="Y153" s="2">
        <v>12903</v>
      </c>
      <c r="Z153" s="2">
        <v>14193.300000000001</v>
      </c>
      <c r="AA153">
        <v>46000</v>
      </c>
    </row>
    <row r="154" spans="1:27" x14ac:dyDescent="0.3">
      <c r="A154">
        <v>8681668640108</v>
      </c>
      <c r="B154" t="s">
        <v>286</v>
      </c>
      <c r="C154" t="s">
        <v>301</v>
      </c>
      <c r="D154" t="s">
        <v>28</v>
      </c>
      <c r="E154" t="str">
        <f t="shared" si="5"/>
        <v>мужские LC08238.472 золотистый</v>
      </c>
      <c r="F154" t="s">
        <v>237</v>
      </c>
      <c r="G154" t="s">
        <v>93</v>
      </c>
      <c r="H154" t="s">
        <v>181</v>
      </c>
      <c r="I154">
        <v>45</v>
      </c>
      <c r="J154" t="s">
        <v>88</v>
      </c>
      <c r="K154" t="s">
        <v>34</v>
      </c>
      <c r="L154" t="s">
        <v>46</v>
      </c>
      <c r="M154" t="s">
        <v>89</v>
      </c>
      <c r="N154" t="s">
        <v>37</v>
      </c>
      <c r="O154" t="s">
        <v>285</v>
      </c>
      <c r="P154" t="s">
        <v>38</v>
      </c>
      <c r="Q154" t="s">
        <v>132</v>
      </c>
      <c r="R154" t="s">
        <v>39</v>
      </c>
      <c r="T154" t="s">
        <v>36</v>
      </c>
      <c r="U154" t="s">
        <v>36</v>
      </c>
      <c r="V154" t="s">
        <v>40</v>
      </c>
      <c r="W154" t="s">
        <v>156</v>
      </c>
      <c r="X154">
        <v>1</v>
      </c>
      <c r="Y154" s="2">
        <v>14536.5</v>
      </c>
      <c r="Z154" s="2">
        <v>15990.150000000001</v>
      </c>
      <c r="AA154">
        <v>51000</v>
      </c>
    </row>
    <row r="155" spans="1:27" x14ac:dyDescent="0.3">
      <c r="A155">
        <v>8681668640504</v>
      </c>
      <c r="B155" t="s">
        <v>287</v>
      </c>
      <c r="C155" t="s">
        <v>301</v>
      </c>
      <c r="D155" t="s">
        <v>28</v>
      </c>
      <c r="E155" t="str">
        <f t="shared" si="5"/>
        <v>мужские LC08245.399 синий</v>
      </c>
      <c r="F155" t="s">
        <v>237</v>
      </c>
      <c r="G155" t="s">
        <v>95</v>
      </c>
      <c r="H155" t="s">
        <v>95</v>
      </c>
      <c r="I155">
        <v>45</v>
      </c>
      <c r="J155" t="s">
        <v>88</v>
      </c>
      <c r="K155" t="s">
        <v>34</v>
      </c>
      <c r="M155" t="s">
        <v>36</v>
      </c>
      <c r="N155" t="s">
        <v>37</v>
      </c>
      <c r="O155" t="s">
        <v>106</v>
      </c>
      <c r="P155" t="s">
        <v>38</v>
      </c>
      <c r="Q155" t="s">
        <v>132</v>
      </c>
      <c r="R155" t="s">
        <v>39</v>
      </c>
      <c r="T155" t="s">
        <v>36</v>
      </c>
      <c r="U155" t="s">
        <v>36</v>
      </c>
      <c r="V155" t="s">
        <v>40</v>
      </c>
      <c r="W155" t="s">
        <v>156</v>
      </c>
      <c r="X155">
        <v>1</v>
      </c>
      <c r="Y155" s="2">
        <v>12089</v>
      </c>
      <c r="Z155" s="2">
        <v>13297.900000000001</v>
      </c>
      <c r="AA155">
        <v>43000</v>
      </c>
    </row>
    <row r="156" spans="1:27" x14ac:dyDescent="0.3">
      <c r="A156">
        <v>8681668641037</v>
      </c>
      <c r="B156" t="s">
        <v>288</v>
      </c>
      <c r="C156" t="s">
        <v>301</v>
      </c>
      <c r="D156" t="s">
        <v>28</v>
      </c>
      <c r="E156" t="str">
        <f t="shared" ref="E156:E167" si="6">CONCATENATE(F156," ",B156," ",H156)</f>
        <v>мужские LC08261.351 черный</v>
      </c>
      <c r="F156" t="s">
        <v>237</v>
      </c>
      <c r="G156" t="s">
        <v>100</v>
      </c>
      <c r="H156" t="s">
        <v>100</v>
      </c>
      <c r="I156">
        <v>42</v>
      </c>
      <c r="J156" t="s">
        <v>88</v>
      </c>
      <c r="K156" t="s">
        <v>34</v>
      </c>
      <c r="L156" t="s">
        <v>46</v>
      </c>
      <c r="M156" t="s">
        <v>36</v>
      </c>
      <c r="N156" t="s">
        <v>37</v>
      </c>
      <c r="O156" t="s">
        <v>106</v>
      </c>
      <c r="P156" t="s">
        <v>38</v>
      </c>
      <c r="Q156" t="s">
        <v>91</v>
      </c>
      <c r="R156" t="s">
        <v>39</v>
      </c>
      <c r="T156" t="s">
        <v>36</v>
      </c>
      <c r="U156" t="s">
        <v>36</v>
      </c>
      <c r="V156" t="s">
        <v>40</v>
      </c>
      <c r="W156" t="s">
        <v>156</v>
      </c>
      <c r="X156">
        <v>2</v>
      </c>
      <c r="Y156" s="2">
        <v>10455.5</v>
      </c>
      <c r="Z156" s="2">
        <v>11501.050000000001</v>
      </c>
      <c r="AA156">
        <v>38000</v>
      </c>
    </row>
    <row r="157" spans="1:27" x14ac:dyDescent="0.3">
      <c r="A157">
        <v>8681668641044</v>
      </c>
      <c r="B157" t="s">
        <v>289</v>
      </c>
      <c r="C157" t="s">
        <v>301</v>
      </c>
      <c r="D157" t="s">
        <v>28</v>
      </c>
      <c r="E157" t="str">
        <f t="shared" si="6"/>
        <v>мужские LC08261.362 серый</v>
      </c>
      <c r="F157" t="s">
        <v>237</v>
      </c>
      <c r="G157" t="s">
        <v>93</v>
      </c>
      <c r="H157" t="s">
        <v>152</v>
      </c>
      <c r="I157">
        <v>42</v>
      </c>
      <c r="J157" t="s">
        <v>88</v>
      </c>
      <c r="K157" t="s">
        <v>34</v>
      </c>
      <c r="L157" t="s">
        <v>46</v>
      </c>
      <c r="M157" t="s">
        <v>36</v>
      </c>
      <c r="N157" t="s">
        <v>37</v>
      </c>
      <c r="O157" t="s">
        <v>106</v>
      </c>
      <c r="P157" t="s">
        <v>38</v>
      </c>
      <c r="Q157" t="s">
        <v>91</v>
      </c>
      <c r="R157" t="s">
        <v>39</v>
      </c>
      <c r="T157" t="s">
        <v>36</v>
      </c>
      <c r="U157" t="s">
        <v>36</v>
      </c>
      <c r="V157" t="s">
        <v>40</v>
      </c>
      <c r="W157" t="s">
        <v>156</v>
      </c>
      <c r="X157">
        <v>1</v>
      </c>
      <c r="Y157" s="2">
        <v>10455.5</v>
      </c>
      <c r="Z157" s="2">
        <v>11501.050000000001</v>
      </c>
      <c r="AA157">
        <v>38000</v>
      </c>
    </row>
    <row r="158" spans="1:27" x14ac:dyDescent="0.3">
      <c r="A158">
        <v>8681668641082</v>
      </c>
      <c r="B158" t="s">
        <v>290</v>
      </c>
      <c r="C158" t="s">
        <v>301</v>
      </c>
      <c r="D158" t="s">
        <v>28</v>
      </c>
      <c r="E158" t="str">
        <f t="shared" si="6"/>
        <v>мужские LC08262.270 зеленый</v>
      </c>
      <c r="F158" t="s">
        <v>237</v>
      </c>
      <c r="G158" t="s">
        <v>184</v>
      </c>
      <c r="H158" t="s">
        <v>73</v>
      </c>
      <c r="I158">
        <v>42</v>
      </c>
      <c r="J158" t="s">
        <v>88</v>
      </c>
      <c r="K158" t="s">
        <v>34</v>
      </c>
      <c r="L158" t="s">
        <v>46</v>
      </c>
      <c r="M158" t="s">
        <v>36</v>
      </c>
      <c r="N158" t="s">
        <v>37</v>
      </c>
      <c r="O158" t="s">
        <v>106</v>
      </c>
      <c r="P158" t="s">
        <v>38</v>
      </c>
      <c r="Q158" t="s">
        <v>39</v>
      </c>
      <c r="R158" t="s">
        <v>39</v>
      </c>
      <c r="T158" t="s">
        <v>36</v>
      </c>
      <c r="U158" t="s">
        <v>36</v>
      </c>
      <c r="V158" t="s">
        <v>40</v>
      </c>
      <c r="W158" t="s">
        <v>156</v>
      </c>
      <c r="X158">
        <v>2</v>
      </c>
      <c r="Y158" s="2">
        <v>11269.5</v>
      </c>
      <c r="Z158" s="2">
        <v>12396.45</v>
      </c>
      <c r="AA158">
        <v>40000</v>
      </c>
    </row>
    <row r="159" spans="1:27" x14ac:dyDescent="0.3">
      <c r="A159">
        <v>8681668641129</v>
      </c>
      <c r="B159" t="s">
        <v>291</v>
      </c>
      <c r="C159" t="s">
        <v>301</v>
      </c>
      <c r="D159" t="s">
        <v>28</v>
      </c>
      <c r="E159" t="str">
        <f t="shared" si="6"/>
        <v>мужские LC08262.350 черный</v>
      </c>
      <c r="F159" t="s">
        <v>237</v>
      </c>
      <c r="G159" t="s">
        <v>51</v>
      </c>
      <c r="H159" t="s">
        <v>100</v>
      </c>
      <c r="I159">
        <v>42</v>
      </c>
      <c r="J159" t="s">
        <v>88</v>
      </c>
      <c r="K159" t="s">
        <v>34</v>
      </c>
      <c r="L159" t="s">
        <v>46</v>
      </c>
      <c r="M159" t="s">
        <v>36</v>
      </c>
      <c r="N159" t="s">
        <v>37</v>
      </c>
      <c r="O159" t="s">
        <v>106</v>
      </c>
      <c r="P159" t="s">
        <v>38</v>
      </c>
      <c r="Q159" t="s">
        <v>39</v>
      </c>
      <c r="R159" t="s">
        <v>39</v>
      </c>
      <c r="T159" t="s">
        <v>36</v>
      </c>
      <c r="U159" t="s">
        <v>36</v>
      </c>
      <c r="V159" t="s">
        <v>40</v>
      </c>
      <c r="W159" t="s">
        <v>156</v>
      </c>
      <c r="X159">
        <v>2</v>
      </c>
      <c r="Y159" s="2">
        <v>9636</v>
      </c>
      <c r="Z159" s="2">
        <v>10599.6</v>
      </c>
      <c r="AA159">
        <v>35000</v>
      </c>
    </row>
    <row r="160" spans="1:27" x14ac:dyDescent="0.3">
      <c r="A160">
        <v>8681668641136</v>
      </c>
      <c r="B160" t="s">
        <v>292</v>
      </c>
      <c r="C160" t="s">
        <v>301</v>
      </c>
      <c r="D160" t="s">
        <v>28</v>
      </c>
      <c r="E160" t="str">
        <f t="shared" si="6"/>
        <v>мужские LC08262.360 золотистый</v>
      </c>
      <c r="F160" t="s">
        <v>237</v>
      </c>
      <c r="G160" t="s">
        <v>51</v>
      </c>
      <c r="H160" t="s">
        <v>181</v>
      </c>
      <c r="I160">
        <v>42</v>
      </c>
      <c r="J160" t="s">
        <v>88</v>
      </c>
      <c r="K160" t="s">
        <v>34</v>
      </c>
      <c r="L160" t="s">
        <v>46</v>
      </c>
      <c r="M160" t="s">
        <v>36</v>
      </c>
      <c r="N160" t="s">
        <v>37</v>
      </c>
      <c r="O160" t="s">
        <v>106</v>
      </c>
      <c r="P160" t="s">
        <v>38</v>
      </c>
      <c r="Q160" t="s">
        <v>39</v>
      </c>
      <c r="R160" t="s">
        <v>39</v>
      </c>
      <c r="T160" t="s">
        <v>36</v>
      </c>
      <c r="U160" t="s">
        <v>36</v>
      </c>
      <c r="V160" t="s">
        <v>40</v>
      </c>
      <c r="W160" t="s">
        <v>156</v>
      </c>
      <c r="X160">
        <v>2</v>
      </c>
      <c r="Y160" s="2">
        <v>9636</v>
      </c>
      <c r="Z160" s="2">
        <v>10599.6</v>
      </c>
      <c r="AA160">
        <v>35000</v>
      </c>
    </row>
    <row r="161" spans="1:27" x14ac:dyDescent="0.3">
      <c r="A161">
        <v>8681668641143</v>
      </c>
      <c r="B161" t="s">
        <v>293</v>
      </c>
      <c r="C161" t="s">
        <v>301</v>
      </c>
      <c r="D161" t="s">
        <v>28</v>
      </c>
      <c r="E161" t="str">
        <f t="shared" si="6"/>
        <v>мужские LC08262.380 бирюза</v>
      </c>
      <c r="F161" t="s">
        <v>237</v>
      </c>
      <c r="G161" t="s">
        <v>51</v>
      </c>
      <c r="H161" t="s">
        <v>66</v>
      </c>
      <c r="I161">
        <v>42</v>
      </c>
      <c r="J161" t="s">
        <v>88</v>
      </c>
      <c r="K161" t="s">
        <v>34</v>
      </c>
      <c r="L161" t="s">
        <v>46</v>
      </c>
      <c r="M161" t="s">
        <v>36</v>
      </c>
      <c r="N161" t="s">
        <v>37</v>
      </c>
      <c r="O161" t="s">
        <v>106</v>
      </c>
      <c r="P161" t="s">
        <v>38</v>
      </c>
      <c r="Q161" t="s">
        <v>39</v>
      </c>
      <c r="R161" t="s">
        <v>39</v>
      </c>
      <c r="T161" t="s">
        <v>36</v>
      </c>
      <c r="U161" t="s">
        <v>36</v>
      </c>
      <c r="V161" t="s">
        <v>40</v>
      </c>
      <c r="W161" t="s">
        <v>156</v>
      </c>
      <c r="X161">
        <v>1</v>
      </c>
      <c r="Y161" s="2">
        <v>9636</v>
      </c>
      <c r="Z161" s="2">
        <v>10599.6</v>
      </c>
      <c r="AA161">
        <v>35000</v>
      </c>
    </row>
    <row r="162" spans="1:27" x14ac:dyDescent="0.3">
      <c r="A162">
        <v>8681668641167</v>
      </c>
      <c r="B162" t="s">
        <v>294</v>
      </c>
      <c r="C162" t="s">
        <v>301</v>
      </c>
      <c r="D162" t="s">
        <v>28</v>
      </c>
      <c r="E162" t="str">
        <f t="shared" si="6"/>
        <v>мужские LC08263.060 серый</v>
      </c>
      <c r="F162" t="s">
        <v>237</v>
      </c>
      <c r="G162" t="s">
        <v>51</v>
      </c>
      <c r="H162" t="s">
        <v>152</v>
      </c>
      <c r="I162">
        <v>44</v>
      </c>
      <c r="J162" t="s">
        <v>88</v>
      </c>
      <c r="K162" t="s">
        <v>34</v>
      </c>
      <c r="L162" t="s">
        <v>46</v>
      </c>
      <c r="M162" t="s">
        <v>36</v>
      </c>
      <c r="N162" t="s">
        <v>37</v>
      </c>
      <c r="O162" t="s">
        <v>285</v>
      </c>
      <c r="P162" t="s">
        <v>38</v>
      </c>
      <c r="Q162" t="s">
        <v>39</v>
      </c>
      <c r="R162" t="s">
        <v>39</v>
      </c>
      <c r="T162" t="s">
        <v>36</v>
      </c>
      <c r="U162" t="s">
        <v>36</v>
      </c>
      <c r="V162" t="s">
        <v>40</v>
      </c>
      <c r="W162" t="s">
        <v>156</v>
      </c>
      <c r="X162">
        <v>2</v>
      </c>
      <c r="Y162" s="2">
        <v>14536.5</v>
      </c>
      <c r="Z162" s="2">
        <v>15990.150000000001</v>
      </c>
      <c r="AA162">
        <v>51000</v>
      </c>
    </row>
    <row r="163" spans="1:27" x14ac:dyDescent="0.3">
      <c r="A163">
        <v>8681668641198</v>
      </c>
      <c r="B163" t="s">
        <v>295</v>
      </c>
      <c r="C163" t="s">
        <v>301</v>
      </c>
      <c r="D163" t="s">
        <v>28</v>
      </c>
      <c r="E163" t="str">
        <f t="shared" si="6"/>
        <v>мужские LC08263.330 серебристый</v>
      </c>
      <c r="F163" t="s">
        <v>237</v>
      </c>
      <c r="G163" t="s">
        <v>51</v>
      </c>
      <c r="H163" t="s">
        <v>51</v>
      </c>
      <c r="I163">
        <v>44</v>
      </c>
      <c r="J163" t="s">
        <v>88</v>
      </c>
      <c r="K163" t="s">
        <v>34</v>
      </c>
      <c r="L163" t="s">
        <v>46</v>
      </c>
      <c r="M163" t="s">
        <v>36</v>
      </c>
      <c r="N163" t="s">
        <v>37</v>
      </c>
      <c r="O163" t="s">
        <v>285</v>
      </c>
      <c r="P163" t="s">
        <v>38</v>
      </c>
      <c r="Q163" t="s">
        <v>39</v>
      </c>
      <c r="R163" t="s">
        <v>39</v>
      </c>
      <c r="T163" t="s">
        <v>36</v>
      </c>
      <c r="U163" t="s">
        <v>36</v>
      </c>
      <c r="V163" t="s">
        <v>40</v>
      </c>
      <c r="W163" t="s">
        <v>156</v>
      </c>
      <c r="X163">
        <v>1</v>
      </c>
      <c r="Y163" s="2">
        <v>14536.5</v>
      </c>
      <c r="Z163" s="2">
        <v>15990.150000000001</v>
      </c>
      <c r="AA163">
        <v>51000</v>
      </c>
    </row>
    <row r="164" spans="1:27" x14ac:dyDescent="0.3">
      <c r="A164">
        <v>8681668641204</v>
      </c>
      <c r="B164" t="s">
        <v>296</v>
      </c>
      <c r="C164" t="s">
        <v>301</v>
      </c>
      <c r="D164" t="s">
        <v>28</v>
      </c>
      <c r="E164" t="str">
        <f t="shared" si="6"/>
        <v>мужские LC08263.350 черный</v>
      </c>
      <c r="F164" t="s">
        <v>237</v>
      </c>
      <c r="G164" t="s">
        <v>51</v>
      </c>
      <c r="H164" t="s">
        <v>100</v>
      </c>
      <c r="I164">
        <v>44</v>
      </c>
      <c r="J164" t="s">
        <v>88</v>
      </c>
      <c r="K164" t="s">
        <v>34</v>
      </c>
      <c r="L164" t="s">
        <v>46</v>
      </c>
      <c r="M164" t="s">
        <v>36</v>
      </c>
      <c r="N164" t="s">
        <v>37</v>
      </c>
      <c r="O164" t="s">
        <v>285</v>
      </c>
      <c r="P164" t="s">
        <v>38</v>
      </c>
      <c r="Q164" t="s">
        <v>39</v>
      </c>
      <c r="R164" t="s">
        <v>39</v>
      </c>
      <c r="T164" t="s">
        <v>36</v>
      </c>
      <c r="U164" t="s">
        <v>36</v>
      </c>
      <c r="V164" t="s">
        <v>40</v>
      </c>
      <c r="W164" t="s">
        <v>156</v>
      </c>
      <c r="X164">
        <v>2</v>
      </c>
      <c r="Y164" s="2">
        <v>14536.5</v>
      </c>
      <c r="Z164" s="2">
        <v>15990.150000000001</v>
      </c>
      <c r="AA164">
        <v>51000</v>
      </c>
    </row>
    <row r="165" spans="1:27" x14ac:dyDescent="0.3">
      <c r="A165">
        <v>8681668641235</v>
      </c>
      <c r="B165" t="s">
        <v>297</v>
      </c>
      <c r="C165" t="s">
        <v>301</v>
      </c>
      <c r="D165" t="s">
        <v>28</v>
      </c>
      <c r="E165" t="str">
        <f t="shared" si="6"/>
        <v>мужские LC08264.351 черный</v>
      </c>
      <c r="F165" t="s">
        <v>237</v>
      </c>
      <c r="G165" t="s">
        <v>100</v>
      </c>
      <c r="H165" t="s">
        <v>100</v>
      </c>
      <c r="I165">
        <v>45</v>
      </c>
      <c r="J165" t="s">
        <v>88</v>
      </c>
      <c r="K165" t="s">
        <v>34</v>
      </c>
      <c r="L165" t="s">
        <v>230</v>
      </c>
      <c r="M165" t="s">
        <v>36</v>
      </c>
      <c r="N165" t="s">
        <v>37</v>
      </c>
      <c r="O165" t="s">
        <v>36</v>
      </c>
      <c r="P165" t="s">
        <v>38</v>
      </c>
      <c r="Q165" t="s">
        <v>132</v>
      </c>
      <c r="R165" t="s">
        <v>39</v>
      </c>
      <c r="T165" t="s">
        <v>36</v>
      </c>
      <c r="U165" t="s">
        <v>36</v>
      </c>
      <c r="V165" t="s">
        <v>40</v>
      </c>
      <c r="W165" t="s">
        <v>298</v>
      </c>
      <c r="X165">
        <v>2</v>
      </c>
      <c r="Y165" s="2">
        <v>14536.5</v>
      </c>
      <c r="Z165" s="2">
        <v>15990.150000000001</v>
      </c>
      <c r="AA165">
        <v>51000</v>
      </c>
    </row>
    <row r="166" spans="1:27" x14ac:dyDescent="0.3">
      <c r="A166">
        <v>8681668641259</v>
      </c>
      <c r="B166" t="s">
        <v>299</v>
      </c>
      <c r="C166" t="s">
        <v>301</v>
      </c>
      <c r="D166" t="s">
        <v>28</v>
      </c>
      <c r="E166" t="str">
        <f t="shared" si="6"/>
        <v>мужские LC08264.399 синий</v>
      </c>
      <c r="F166" t="s">
        <v>237</v>
      </c>
      <c r="G166" t="s">
        <v>95</v>
      </c>
      <c r="H166" t="s">
        <v>95</v>
      </c>
      <c r="I166">
        <v>45</v>
      </c>
      <c r="J166" t="s">
        <v>88</v>
      </c>
      <c r="K166" t="s">
        <v>34</v>
      </c>
      <c r="L166" t="s">
        <v>230</v>
      </c>
      <c r="M166" t="s">
        <v>36</v>
      </c>
      <c r="N166" t="s">
        <v>37</v>
      </c>
      <c r="O166" t="s">
        <v>36</v>
      </c>
      <c r="P166" t="s">
        <v>38</v>
      </c>
      <c r="Q166" t="s">
        <v>132</v>
      </c>
      <c r="R166" t="s">
        <v>39</v>
      </c>
      <c r="T166" t="s">
        <v>36</v>
      </c>
      <c r="U166" t="s">
        <v>36</v>
      </c>
      <c r="V166" t="s">
        <v>40</v>
      </c>
      <c r="W166" t="s">
        <v>298</v>
      </c>
      <c r="X166">
        <v>2</v>
      </c>
      <c r="Y166" s="2">
        <v>14536.5</v>
      </c>
      <c r="Z166" s="2">
        <v>15990.150000000001</v>
      </c>
      <c r="AA166">
        <v>51000</v>
      </c>
    </row>
    <row r="167" spans="1:27" x14ac:dyDescent="0.3">
      <c r="A167">
        <v>8681668641266</v>
      </c>
      <c r="B167" t="s">
        <v>300</v>
      </c>
      <c r="C167" t="s">
        <v>301</v>
      </c>
      <c r="D167" t="s">
        <v>28</v>
      </c>
      <c r="E167" t="str">
        <f t="shared" si="6"/>
        <v>мужские LC08264.451 золотистый</v>
      </c>
      <c r="F167" t="s">
        <v>237</v>
      </c>
      <c r="G167" t="s">
        <v>100</v>
      </c>
      <c r="H167" t="s">
        <v>181</v>
      </c>
      <c r="I167">
        <v>45</v>
      </c>
      <c r="J167" t="s">
        <v>88</v>
      </c>
      <c r="K167" t="s">
        <v>34</v>
      </c>
      <c r="L167" t="s">
        <v>230</v>
      </c>
      <c r="M167" t="s">
        <v>36</v>
      </c>
      <c r="N167" t="s">
        <v>37</v>
      </c>
      <c r="O167" t="s">
        <v>36</v>
      </c>
      <c r="P167" t="s">
        <v>38</v>
      </c>
      <c r="Q167" t="s">
        <v>132</v>
      </c>
      <c r="R167" t="s">
        <v>39</v>
      </c>
      <c r="T167" t="s">
        <v>36</v>
      </c>
      <c r="U167" t="s">
        <v>36</v>
      </c>
      <c r="V167" t="s">
        <v>40</v>
      </c>
      <c r="W167" t="s">
        <v>298</v>
      </c>
      <c r="X167">
        <v>2</v>
      </c>
      <c r="Y167" s="2">
        <v>16170</v>
      </c>
      <c r="Z167" s="2">
        <v>17787</v>
      </c>
      <c r="AA167">
        <v>56000</v>
      </c>
    </row>
  </sheetData>
  <autoFilter ref="A1:AA1" xr:uid="{00000000-0001-0000-0000-000000000000}">
    <sortState xmlns:xlrd2="http://schemas.microsoft.com/office/spreadsheetml/2017/richdata2" ref="A2:AA17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7C30-948B-4CB7-BC31-081D3A41CBC3}">
  <dimension ref="D4:O177"/>
  <sheetViews>
    <sheetView workbookViewId="0">
      <selection activeCell="O4" sqref="O4:O177"/>
    </sheetView>
  </sheetViews>
  <sheetFormatPr defaultRowHeight="14.4" x14ac:dyDescent="0.3"/>
  <sheetData>
    <row r="4" spans="4:15" x14ac:dyDescent="0.3">
      <c r="D4">
        <v>10990</v>
      </c>
      <c r="F4">
        <f>D4/500</f>
        <v>21.98</v>
      </c>
      <c r="K4">
        <v>21.98</v>
      </c>
      <c r="M4">
        <f>K4*550</f>
        <v>12089</v>
      </c>
      <c r="O4">
        <f>M4*1.1</f>
        <v>13297.900000000001</v>
      </c>
    </row>
    <row r="5" spans="4:15" x14ac:dyDescent="0.3">
      <c r="D5">
        <v>10990</v>
      </c>
      <c r="F5">
        <f t="shared" ref="F5:F68" si="0">D5/500</f>
        <v>21.98</v>
      </c>
      <c r="K5">
        <v>21.98</v>
      </c>
      <c r="M5">
        <f t="shared" ref="M5:M68" si="1">K5*550</f>
        <v>12089</v>
      </c>
      <c r="O5">
        <f t="shared" ref="O5:O68" si="2">M5*1.1</f>
        <v>13297.900000000001</v>
      </c>
    </row>
    <row r="6" spans="4:15" x14ac:dyDescent="0.3">
      <c r="D6">
        <v>10990</v>
      </c>
      <c r="F6">
        <f t="shared" si="0"/>
        <v>21.98</v>
      </c>
      <c r="K6">
        <v>21.98</v>
      </c>
      <c r="M6">
        <f t="shared" si="1"/>
        <v>12089</v>
      </c>
      <c r="O6">
        <f t="shared" si="2"/>
        <v>13297.900000000001</v>
      </c>
    </row>
    <row r="7" spans="4:15" x14ac:dyDescent="0.3">
      <c r="D7">
        <v>20639.999999999996</v>
      </c>
      <c r="F7">
        <f t="shared" si="0"/>
        <v>41.279999999999994</v>
      </c>
      <c r="K7">
        <v>41.279999999999994</v>
      </c>
      <c r="M7">
        <f t="shared" si="1"/>
        <v>22703.999999999996</v>
      </c>
      <c r="O7">
        <f t="shared" si="2"/>
        <v>24974.399999999998</v>
      </c>
    </row>
    <row r="8" spans="4:15" x14ac:dyDescent="0.3">
      <c r="D8">
        <v>20639.999999999996</v>
      </c>
      <c r="F8">
        <f t="shared" si="0"/>
        <v>41.279999999999994</v>
      </c>
      <c r="K8">
        <v>41.279999999999994</v>
      </c>
      <c r="M8">
        <f t="shared" si="1"/>
        <v>22703.999999999996</v>
      </c>
      <c r="O8">
        <f t="shared" si="2"/>
        <v>24974.399999999998</v>
      </c>
    </row>
    <row r="9" spans="4:15" x14ac:dyDescent="0.3">
      <c r="D9">
        <v>10244.999999999998</v>
      </c>
      <c r="F9">
        <f t="shared" si="0"/>
        <v>20.489999999999995</v>
      </c>
      <c r="K9">
        <v>20.489999999999995</v>
      </c>
      <c r="M9">
        <f t="shared" si="1"/>
        <v>11269.499999999996</v>
      </c>
      <c r="O9">
        <f t="shared" si="2"/>
        <v>12396.449999999997</v>
      </c>
    </row>
    <row r="10" spans="4:15" x14ac:dyDescent="0.3">
      <c r="D10">
        <v>10244.999999999998</v>
      </c>
      <c r="F10">
        <f t="shared" si="0"/>
        <v>20.489999999999995</v>
      </c>
      <c r="K10">
        <v>20.489999999999995</v>
      </c>
      <c r="M10">
        <f t="shared" si="1"/>
        <v>11269.499999999996</v>
      </c>
      <c r="O10">
        <f t="shared" si="2"/>
        <v>12396.449999999997</v>
      </c>
    </row>
    <row r="11" spans="4:15" x14ac:dyDescent="0.3">
      <c r="D11">
        <v>8019.9999999999991</v>
      </c>
      <c r="F11">
        <f t="shared" si="0"/>
        <v>16.04</v>
      </c>
      <c r="K11">
        <v>16.04</v>
      </c>
      <c r="M11">
        <f t="shared" si="1"/>
        <v>8822</v>
      </c>
      <c r="O11">
        <f t="shared" si="2"/>
        <v>9704.2000000000007</v>
      </c>
    </row>
    <row r="12" spans="4:15" x14ac:dyDescent="0.3">
      <c r="D12">
        <v>8019.9999999999991</v>
      </c>
      <c r="F12">
        <f t="shared" si="0"/>
        <v>16.04</v>
      </c>
      <c r="K12">
        <v>16.04</v>
      </c>
      <c r="M12">
        <f t="shared" si="1"/>
        <v>8822</v>
      </c>
      <c r="O12">
        <f t="shared" si="2"/>
        <v>9704.2000000000007</v>
      </c>
    </row>
    <row r="13" spans="4:15" x14ac:dyDescent="0.3">
      <c r="D13">
        <v>10244.999999999998</v>
      </c>
      <c r="F13">
        <f t="shared" si="0"/>
        <v>20.489999999999995</v>
      </c>
      <c r="K13">
        <v>20.489999999999995</v>
      </c>
      <c r="M13">
        <f t="shared" si="1"/>
        <v>11269.499999999996</v>
      </c>
      <c r="O13">
        <f t="shared" si="2"/>
        <v>12396.449999999997</v>
      </c>
    </row>
    <row r="14" spans="4:15" x14ac:dyDescent="0.3">
      <c r="D14">
        <v>10244.999999999998</v>
      </c>
      <c r="F14">
        <f t="shared" si="0"/>
        <v>20.489999999999995</v>
      </c>
      <c r="K14">
        <v>20.489999999999995</v>
      </c>
      <c r="M14">
        <f t="shared" si="1"/>
        <v>11269.499999999996</v>
      </c>
      <c r="O14">
        <f t="shared" si="2"/>
        <v>12396.449999999997</v>
      </c>
    </row>
    <row r="15" spans="4:15" x14ac:dyDescent="0.3">
      <c r="D15">
        <v>10990</v>
      </c>
      <c r="F15">
        <f t="shared" si="0"/>
        <v>21.98</v>
      </c>
      <c r="K15">
        <v>21.98</v>
      </c>
      <c r="M15">
        <f t="shared" si="1"/>
        <v>12089</v>
      </c>
      <c r="O15">
        <f t="shared" si="2"/>
        <v>13297.900000000001</v>
      </c>
    </row>
    <row r="16" spans="4:15" x14ac:dyDescent="0.3">
      <c r="D16">
        <v>9505</v>
      </c>
      <c r="F16">
        <f t="shared" si="0"/>
        <v>19.010000000000002</v>
      </c>
      <c r="K16">
        <v>19.010000000000002</v>
      </c>
      <c r="M16">
        <f t="shared" si="1"/>
        <v>10455.5</v>
      </c>
      <c r="O16">
        <f t="shared" si="2"/>
        <v>11501.050000000001</v>
      </c>
    </row>
    <row r="17" spans="4:15" x14ac:dyDescent="0.3">
      <c r="D17">
        <v>11730</v>
      </c>
      <c r="F17">
        <f t="shared" si="0"/>
        <v>23.46</v>
      </c>
      <c r="K17">
        <v>23.46</v>
      </c>
      <c r="M17">
        <f t="shared" si="1"/>
        <v>12903</v>
      </c>
      <c r="O17">
        <f t="shared" si="2"/>
        <v>14193.300000000001</v>
      </c>
    </row>
    <row r="18" spans="4:15" x14ac:dyDescent="0.3">
      <c r="D18">
        <v>11730</v>
      </c>
      <c r="F18">
        <f t="shared" si="0"/>
        <v>23.46</v>
      </c>
      <c r="K18">
        <v>23.46</v>
      </c>
      <c r="M18">
        <f t="shared" si="1"/>
        <v>12903</v>
      </c>
      <c r="O18">
        <f t="shared" si="2"/>
        <v>14193.300000000001</v>
      </c>
    </row>
    <row r="19" spans="4:15" x14ac:dyDescent="0.3">
      <c r="D19">
        <v>11284.999999999998</v>
      </c>
      <c r="F19">
        <f t="shared" si="0"/>
        <v>22.569999999999997</v>
      </c>
      <c r="K19">
        <v>22.569999999999997</v>
      </c>
      <c r="M19">
        <f t="shared" si="1"/>
        <v>12413.499999999998</v>
      </c>
      <c r="O19">
        <f t="shared" si="2"/>
        <v>13654.849999999999</v>
      </c>
    </row>
    <row r="20" spans="4:15" x14ac:dyDescent="0.3">
      <c r="D20">
        <v>11284.999999999998</v>
      </c>
      <c r="F20">
        <f t="shared" si="0"/>
        <v>22.569999999999997</v>
      </c>
      <c r="K20">
        <v>22.569999999999997</v>
      </c>
      <c r="M20">
        <f t="shared" si="1"/>
        <v>12413.499999999998</v>
      </c>
      <c r="O20">
        <f t="shared" si="2"/>
        <v>13654.849999999999</v>
      </c>
    </row>
    <row r="21" spans="4:15" x14ac:dyDescent="0.3">
      <c r="D21">
        <v>10244.999999999998</v>
      </c>
      <c r="F21">
        <f t="shared" si="0"/>
        <v>20.489999999999995</v>
      </c>
      <c r="K21">
        <v>20.489999999999995</v>
      </c>
      <c r="M21">
        <f t="shared" si="1"/>
        <v>11269.499999999996</v>
      </c>
      <c r="O21">
        <f t="shared" si="2"/>
        <v>12396.449999999997</v>
      </c>
    </row>
    <row r="22" spans="4:15" x14ac:dyDescent="0.3">
      <c r="D22">
        <v>9505</v>
      </c>
      <c r="F22">
        <f t="shared" si="0"/>
        <v>19.010000000000002</v>
      </c>
      <c r="K22">
        <v>19.010000000000002</v>
      </c>
      <c r="M22">
        <f t="shared" si="1"/>
        <v>10455.5</v>
      </c>
      <c r="O22">
        <f t="shared" si="2"/>
        <v>11501.050000000001</v>
      </c>
    </row>
    <row r="23" spans="4:15" x14ac:dyDescent="0.3">
      <c r="D23">
        <v>9505</v>
      </c>
      <c r="F23">
        <f t="shared" si="0"/>
        <v>19.010000000000002</v>
      </c>
      <c r="K23">
        <v>19.010000000000002</v>
      </c>
      <c r="M23">
        <f t="shared" si="1"/>
        <v>10455.5</v>
      </c>
      <c r="O23">
        <f t="shared" si="2"/>
        <v>11501.050000000001</v>
      </c>
    </row>
    <row r="24" spans="4:15" x14ac:dyDescent="0.3">
      <c r="D24">
        <v>13214.999999999998</v>
      </c>
      <c r="F24">
        <f t="shared" si="0"/>
        <v>26.429999999999996</v>
      </c>
      <c r="K24">
        <v>26.429999999999996</v>
      </c>
      <c r="M24">
        <f t="shared" si="1"/>
        <v>14536.499999999998</v>
      </c>
      <c r="O24">
        <f t="shared" si="2"/>
        <v>15990.15</v>
      </c>
    </row>
    <row r="25" spans="4:15" x14ac:dyDescent="0.3">
      <c r="D25">
        <v>13214.999999999998</v>
      </c>
      <c r="F25">
        <f t="shared" si="0"/>
        <v>26.429999999999996</v>
      </c>
      <c r="K25">
        <v>26.429999999999996</v>
      </c>
      <c r="M25">
        <f t="shared" si="1"/>
        <v>14536.499999999998</v>
      </c>
      <c r="O25">
        <f t="shared" si="2"/>
        <v>15990.15</v>
      </c>
    </row>
    <row r="26" spans="4:15" x14ac:dyDescent="0.3">
      <c r="D26">
        <v>13214.999999999998</v>
      </c>
      <c r="F26">
        <f t="shared" si="0"/>
        <v>26.429999999999996</v>
      </c>
      <c r="K26">
        <v>26.429999999999996</v>
      </c>
      <c r="M26">
        <f t="shared" si="1"/>
        <v>14536.499999999998</v>
      </c>
      <c r="O26">
        <f t="shared" si="2"/>
        <v>15990.15</v>
      </c>
    </row>
    <row r="27" spans="4:15" x14ac:dyDescent="0.3">
      <c r="D27">
        <v>9505</v>
      </c>
      <c r="F27">
        <f t="shared" si="0"/>
        <v>19.010000000000002</v>
      </c>
      <c r="K27">
        <v>19.010000000000002</v>
      </c>
      <c r="M27">
        <f t="shared" si="1"/>
        <v>10455.5</v>
      </c>
      <c r="O27">
        <f t="shared" si="2"/>
        <v>11501.050000000001</v>
      </c>
    </row>
    <row r="28" spans="4:15" x14ac:dyDescent="0.3">
      <c r="D28">
        <v>10244.999999999998</v>
      </c>
      <c r="F28">
        <f t="shared" si="0"/>
        <v>20.489999999999995</v>
      </c>
      <c r="K28">
        <v>20.489999999999995</v>
      </c>
      <c r="M28">
        <f t="shared" si="1"/>
        <v>11269.499999999996</v>
      </c>
      <c r="O28">
        <f t="shared" si="2"/>
        <v>12396.449999999997</v>
      </c>
    </row>
    <row r="29" spans="4:15" x14ac:dyDescent="0.3">
      <c r="D29">
        <v>10244.999999999998</v>
      </c>
      <c r="F29">
        <f t="shared" si="0"/>
        <v>20.489999999999995</v>
      </c>
      <c r="K29">
        <v>20.489999999999995</v>
      </c>
      <c r="M29">
        <f t="shared" si="1"/>
        <v>11269.499999999996</v>
      </c>
      <c r="O29">
        <f t="shared" si="2"/>
        <v>12396.449999999997</v>
      </c>
    </row>
    <row r="30" spans="4:15" x14ac:dyDescent="0.3">
      <c r="D30">
        <v>13214.999999999998</v>
      </c>
      <c r="F30">
        <f t="shared" si="0"/>
        <v>26.429999999999996</v>
      </c>
      <c r="K30">
        <v>26.429999999999996</v>
      </c>
      <c r="M30">
        <f t="shared" si="1"/>
        <v>14536.499999999998</v>
      </c>
      <c r="O30">
        <f t="shared" si="2"/>
        <v>15990.15</v>
      </c>
    </row>
    <row r="31" spans="4:15" x14ac:dyDescent="0.3">
      <c r="D31">
        <v>13214.999999999998</v>
      </c>
      <c r="F31">
        <f t="shared" si="0"/>
        <v>26.429999999999996</v>
      </c>
      <c r="K31">
        <v>26.429999999999996</v>
      </c>
      <c r="M31">
        <f t="shared" si="1"/>
        <v>14536.499999999998</v>
      </c>
      <c r="O31">
        <f t="shared" si="2"/>
        <v>15990.15</v>
      </c>
    </row>
    <row r="32" spans="4:15" x14ac:dyDescent="0.3">
      <c r="D32">
        <v>13960</v>
      </c>
      <c r="F32">
        <f t="shared" si="0"/>
        <v>27.92</v>
      </c>
      <c r="K32">
        <v>27.92</v>
      </c>
      <c r="M32">
        <f t="shared" si="1"/>
        <v>15356.000000000002</v>
      </c>
      <c r="O32">
        <f t="shared" si="2"/>
        <v>16891.600000000002</v>
      </c>
    </row>
    <row r="33" spans="4:15" x14ac:dyDescent="0.3">
      <c r="D33">
        <v>13214.999999999998</v>
      </c>
      <c r="F33">
        <f t="shared" si="0"/>
        <v>26.429999999999996</v>
      </c>
      <c r="K33">
        <v>26.429999999999996</v>
      </c>
      <c r="M33">
        <f t="shared" si="1"/>
        <v>14536.499999999998</v>
      </c>
      <c r="O33">
        <f t="shared" si="2"/>
        <v>15990.15</v>
      </c>
    </row>
    <row r="34" spans="4:15" x14ac:dyDescent="0.3">
      <c r="D34">
        <v>13214.999999999998</v>
      </c>
      <c r="F34">
        <f t="shared" si="0"/>
        <v>26.429999999999996</v>
      </c>
      <c r="K34">
        <v>26.429999999999996</v>
      </c>
      <c r="M34">
        <f t="shared" si="1"/>
        <v>14536.499999999998</v>
      </c>
      <c r="O34">
        <f t="shared" si="2"/>
        <v>15990.15</v>
      </c>
    </row>
    <row r="35" spans="4:15" x14ac:dyDescent="0.3">
      <c r="D35">
        <v>11730</v>
      </c>
      <c r="F35">
        <f t="shared" si="0"/>
        <v>23.46</v>
      </c>
      <c r="K35">
        <v>23.46</v>
      </c>
      <c r="M35">
        <f t="shared" si="1"/>
        <v>12903</v>
      </c>
      <c r="O35">
        <f t="shared" si="2"/>
        <v>14193.300000000001</v>
      </c>
    </row>
    <row r="36" spans="4:15" x14ac:dyDescent="0.3">
      <c r="D36">
        <v>8760</v>
      </c>
      <c r="F36">
        <f t="shared" si="0"/>
        <v>17.52</v>
      </c>
      <c r="K36">
        <v>17.52</v>
      </c>
      <c r="M36">
        <f t="shared" si="1"/>
        <v>9636</v>
      </c>
      <c r="O36">
        <f t="shared" si="2"/>
        <v>10599.6</v>
      </c>
    </row>
    <row r="37" spans="4:15" x14ac:dyDescent="0.3">
      <c r="D37">
        <v>8760</v>
      </c>
      <c r="F37">
        <f t="shared" si="0"/>
        <v>17.52</v>
      </c>
      <c r="K37">
        <v>17.52</v>
      </c>
      <c r="M37">
        <f t="shared" si="1"/>
        <v>9636</v>
      </c>
      <c r="O37">
        <f t="shared" si="2"/>
        <v>10599.6</v>
      </c>
    </row>
    <row r="38" spans="4:15" x14ac:dyDescent="0.3">
      <c r="D38">
        <v>8760</v>
      </c>
      <c r="F38">
        <f t="shared" si="0"/>
        <v>17.52</v>
      </c>
      <c r="K38">
        <v>17.52</v>
      </c>
      <c r="M38">
        <f t="shared" si="1"/>
        <v>9636</v>
      </c>
      <c r="O38">
        <f t="shared" si="2"/>
        <v>10599.6</v>
      </c>
    </row>
    <row r="39" spans="4:15" x14ac:dyDescent="0.3">
      <c r="D39">
        <v>8760</v>
      </c>
      <c r="F39">
        <f t="shared" si="0"/>
        <v>17.52</v>
      </c>
      <c r="K39">
        <v>17.52</v>
      </c>
      <c r="M39">
        <f t="shared" si="1"/>
        <v>9636</v>
      </c>
      <c r="O39">
        <f t="shared" si="2"/>
        <v>10599.6</v>
      </c>
    </row>
    <row r="40" spans="4:15" x14ac:dyDescent="0.3">
      <c r="D40">
        <v>9505</v>
      </c>
      <c r="F40">
        <f t="shared" si="0"/>
        <v>19.010000000000002</v>
      </c>
      <c r="K40">
        <v>19.010000000000002</v>
      </c>
      <c r="M40">
        <f t="shared" si="1"/>
        <v>10455.5</v>
      </c>
      <c r="O40">
        <f t="shared" si="2"/>
        <v>11501.050000000001</v>
      </c>
    </row>
    <row r="41" spans="4:15" x14ac:dyDescent="0.3">
      <c r="D41">
        <v>9505</v>
      </c>
      <c r="F41">
        <f t="shared" si="0"/>
        <v>19.010000000000002</v>
      </c>
      <c r="K41">
        <v>19.010000000000002</v>
      </c>
      <c r="M41">
        <f t="shared" si="1"/>
        <v>10455.5</v>
      </c>
      <c r="O41">
        <f t="shared" si="2"/>
        <v>11501.050000000001</v>
      </c>
    </row>
    <row r="42" spans="4:15" x14ac:dyDescent="0.3">
      <c r="D42">
        <v>8019.9999999999991</v>
      </c>
      <c r="F42">
        <f t="shared" si="0"/>
        <v>16.04</v>
      </c>
      <c r="K42">
        <v>16.04</v>
      </c>
      <c r="M42">
        <f t="shared" si="1"/>
        <v>8822</v>
      </c>
      <c r="O42">
        <f t="shared" si="2"/>
        <v>9704.2000000000007</v>
      </c>
    </row>
    <row r="43" spans="4:15" x14ac:dyDescent="0.3">
      <c r="D43">
        <v>8760</v>
      </c>
      <c r="F43">
        <f t="shared" si="0"/>
        <v>17.52</v>
      </c>
      <c r="K43">
        <v>17.52</v>
      </c>
      <c r="M43">
        <f t="shared" si="1"/>
        <v>9636</v>
      </c>
      <c r="O43">
        <f t="shared" si="2"/>
        <v>10599.6</v>
      </c>
    </row>
    <row r="44" spans="4:15" x14ac:dyDescent="0.3">
      <c r="D44">
        <v>11730</v>
      </c>
      <c r="F44">
        <f t="shared" si="0"/>
        <v>23.46</v>
      </c>
      <c r="K44">
        <v>23.46</v>
      </c>
      <c r="M44">
        <f t="shared" si="1"/>
        <v>12903</v>
      </c>
      <c r="O44">
        <f t="shared" si="2"/>
        <v>14193.300000000001</v>
      </c>
    </row>
    <row r="45" spans="4:15" x14ac:dyDescent="0.3">
      <c r="D45">
        <v>11730</v>
      </c>
      <c r="F45">
        <f t="shared" si="0"/>
        <v>23.46</v>
      </c>
      <c r="K45">
        <v>23.46</v>
      </c>
      <c r="M45">
        <f t="shared" si="1"/>
        <v>12903</v>
      </c>
      <c r="O45">
        <f t="shared" si="2"/>
        <v>14193.300000000001</v>
      </c>
    </row>
    <row r="46" spans="4:15" x14ac:dyDescent="0.3">
      <c r="D46">
        <v>11730</v>
      </c>
      <c r="F46">
        <f t="shared" si="0"/>
        <v>23.46</v>
      </c>
      <c r="K46">
        <v>23.46</v>
      </c>
      <c r="M46">
        <f t="shared" si="1"/>
        <v>12903</v>
      </c>
      <c r="O46">
        <f t="shared" si="2"/>
        <v>14193.300000000001</v>
      </c>
    </row>
    <row r="47" spans="4:15" x14ac:dyDescent="0.3">
      <c r="D47">
        <v>13214.999999999998</v>
      </c>
      <c r="F47">
        <f t="shared" si="0"/>
        <v>26.429999999999996</v>
      </c>
      <c r="K47">
        <v>26.429999999999996</v>
      </c>
      <c r="M47">
        <f t="shared" si="1"/>
        <v>14536.499999999998</v>
      </c>
      <c r="O47">
        <f t="shared" si="2"/>
        <v>15990.15</v>
      </c>
    </row>
    <row r="48" spans="4:15" x14ac:dyDescent="0.3">
      <c r="D48">
        <v>13214.999999999998</v>
      </c>
      <c r="F48">
        <f t="shared" si="0"/>
        <v>26.429999999999996</v>
      </c>
      <c r="K48">
        <v>26.429999999999996</v>
      </c>
      <c r="M48">
        <f t="shared" si="1"/>
        <v>14536.499999999998</v>
      </c>
      <c r="O48">
        <f t="shared" si="2"/>
        <v>15990.15</v>
      </c>
    </row>
    <row r="49" spans="4:15" x14ac:dyDescent="0.3">
      <c r="D49">
        <v>11730</v>
      </c>
      <c r="F49">
        <f t="shared" si="0"/>
        <v>23.46</v>
      </c>
      <c r="K49">
        <v>23.46</v>
      </c>
      <c r="M49">
        <f t="shared" si="1"/>
        <v>12903</v>
      </c>
      <c r="O49">
        <f t="shared" si="2"/>
        <v>14193.300000000001</v>
      </c>
    </row>
    <row r="50" spans="4:15" x14ac:dyDescent="0.3">
      <c r="D50">
        <v>11730</v>
      </c>
      <c r="F50">
        <f t="shared" si="0"/>
        <v>23.46</v>
      </c>
      <c r="K50">
        <v>23.46</v>
      </c>
      <c r="M50">
        <f t="shared" si="1"/>
        <v>12903</v>
      </c>
      <c r="O50">
        <f t="shared" si="2"/>
        <v>14193.300000000001</v>
      </c>
    </row>
    <row r="51" spans="4:15" x14ac:dyDescent="0.3">
      <c r="D51">
        <v>11730</v>
      </c>
      <c r="F51">
        <f t="shared" si="0"/>
        <v>23.46</v>
      </c>
      <c r="K51">
        <v>23.46</v>
      </c>
      <c r="M51">
        <f t="shared" si="1"/>
        <v>12903</v>
      </c>
      <c r="O51">
        <f t="shared" si="2"/>
        <v>14193.300000000001</v>
      </c>
    </row>
    <row r="52" spans="4:15" x14ac:dyDescent="0.3">
      <c r="D52">
        <v>11730</v>
      </c>
      <c r="F52">
        <f t="shared" si="0"/>
        <v>23.46</v>
      </c>
      <c r="K52">
        <v>23.46</v>
      </c>
      <c r="M52">
        <f t="shared" si="1"/>
        <v>12903</v>
      </c>
      <c r="O52">
        <f t="shared" si="2"/>
        <v>14193.300000000001</v>
      </c>
    </row>
    <row r="53" spans="4:15" x14ac:dyDescent="0.3">
      <c r="D53">
        <v>13214.999999999998</v>
      </c>
      <c r="F53">
        <f t="shared" si="0"/>
        <v>26.429999999999996</v>
      </c>
      <c r="K53">
        <v>26.429999999999996</v>
      </c>
      <c r="M53">
        <f t="shared" si="1"/>
        <v>14536.499999999998</v>
      </c>
      <c r="O53">
        <f t="shared" si="2"/>
        <v>15990.15</v>
      </c>
    </row>
    <row r="54" spans="4:15" x14ac:dyDescent="0.3">
      <c r="D54">
        <v>13214.999999999998</v>
      </c>
      <c r="F54">
        <f t="shared" si="0"/>
        <v>26.429999999999996</v>
      </c>
      <c r="K54">
        <v>26.429999999999996</v>
      </c>
      <c r="M54">
        <f t="shared" si="1"/>
        <v>14536.499999999998</v>
      </c>
      <c r="O54">
        <f t="shared" si="2"/>
        <v>15990.15</v>
      </c>
    </row>
    <row r="55" spans="4:15" x14ac:dyDescent="0.3">
      <c r="D55">
        <v>25094.999999999996</v>
      </c>
      <c r="F55">
        <f t="shared" si="0"/>
        <v>50.189999999999991</v>
      </c>
      <c r="K55">
        <v>50.189999999999991</v>
      </c>
      <c r="M55">
        <f t="shared" si="1"/>
        <v>27604.499999999996</v>
      </c>
      <c r="O55">
        <f t="shared" si="2"/>
        <v>30364.949999999997</v>
      </c>
    </row>
    <row r="56" spans="4:15" x14ac:dyDescent="0.3">
      <c r="D56">
        <v>25094.999999999996</v>
      </c>
      <c r="F56">
        <f t="shared" si="0"/>
        <v>50.189999999999991</v>
      </c>
      <c r="K56">
        <v>50.189999999999991</v>
      </c>
      <c r="M56">
        <f t="shared" si="1"/>
        <v>27604.499999999996</v>
      </c>
      <c r="O56">
        <f t="shared" si="2"/>
        <v>30364.949999999997</v>
      </c>
    </row>
    <row r="57" spans="4:15" x14ac:dyDescent="0.3">
      <c r="D57">
        <v>25094.999999999996</v>
      </c>
      <c r="F57">
        <f t="shared" si="0"/>
        <v>50.189999999999991</v>
      </c>
      <c r="K57">
        <v>50.189999999999991</v>
      </c>
      <c r="M57">
        <f t="shared" si="1"/>
        <v>27604.499999999996</v>
      </c>
      <c r="O57">
        <f t="shared" si="2"/>
        <v>30364.949999999997</v>
      </c>
    </row>
    <row r="58" spans="4:15" x14ac:dyDescent="0.3">
      <c r="D58">
        <v>11730</v>
      </c>
      <c r="F58">
        <f t="shared" si="0"/>
        <v>23.46</v>
      </c>
      <c r="K58">
        <v>23.46</v>
      </c>
      <c r="M58">
        <f t="shared" si="1"/>
        <v>12903</v>
      </c>
      <c r="O58">
        <f t="shared" si="2"/>
        <v>14193.300000000001</v>
      </c>
    </row>
    <row r="59" spans="4:15" x14ac:dyDescent="0.3">
      <c r="D59">
        <v>13214.999999999998</v>
      </c>
      <c r="F59">
        <f t="shared" si="0"/>
        <v>26.429999999999996</v>
      </c>
      <c r="K59">
        <v>26.429999999999996</v>
      </c>
      <c r="M59">
        <f t="shared" si="1"/>
        <v>14536.499999999998</v>
      </c>
      <c r="O59">
        <f t="shared" si="2"/>
        <v>15990.15</v>
      </c>
    </row>
    <row r="60" spans="4:15" x14ac:dyDescent="0.3">
      <c r="D60">
        <v>13214.999999999998</v>
      </c>
      <c r="F60">
        <f t="shared" si="0"/>
        <v>26.429999999999996</v>
      </c>
      <c r="K60">
        <v>26.429999999999996</v>
      </c>
      <c r="M60">
        <f t="shared" si="1"/>
        <v>14536.499999999998</v>
      </c>
      <c r="O60">
        <f t="shared" si="2"/>
        <v>15990.15</v>
      </c>
    </row>
    <row r="61" spans="4:15" x14ac:dyDescent="0.3">
      <c r="D61">
        <v>13214.999999999998</v>
      </c>
      <c r="F61">
        <f t="shared" si="0"/>
        <v>26.429999999999996</v>
      </c>
      <c r="K61">
        <v>26.429999999999996</v>
      </c>
      <c r="M61">
        <f t="shared" si="1"/>
        <v>14536.499999999998</v>
      </c>
      <c r="O61">
        <f t="shared" si="2"/>
        <v>15990.15</v>
      </c>
    </row>
    <row r="62" spans="4:15" x14ac:dyDescent="0.3">
      <c r="D62">
        <v>13214.999999999998</v>
      </c>
      <c r="F62">
        <f t="shared" si="0"/>
        <v>26.429999999999996</v>
      </c>
      <c r="K62">
        <v>26.429999999999996</v>
      </c>
      <c r="M62">
        <f t="shared" si="1"/>
        <v>14536.499999999998</v>
      </c>
      <c r="O62">
        <f t="shared" si="2"/>
        <v>15990.15</v>
      </c>
    </row>
    <row r="63" spans="4:15" x14ac:dyDescent="0.3">
      <c r="D63">
        <v>13214.999999999998</v>
      </c>
      <c r="F63">
        <f t="shared" si="0"/>
        <v>26.429999999999996</v>
      </c>
      <c r="K63">
        <v>26.429999999999996</v>
      </c>
      <c r="M63">
        <f t="shared" si="1"/>
        <v>14536.499999999998</v>
      </c>
      <c r="O63">
        <f t="shared" si="2"/>
        <v>15990.15</v>
      </c>
    </row>
    <row r="64" spans="4:15" x14ac:dyDescent="0.3">
      <c r="D64">
        <v>13214.999999999998</v>
      </c>
      <c r="F64">
        <f t="shared" si="0"/>
        <v>26.429999999999996</v>
      </c>
      <c r="K64">
        <v>26.429999999999996</v>
      </c>
      <c r="M64">
        <f t="shared" si="1"/>
        <v>14536.499999999998</v>
      </c>
      <c r="O64">
        <f t="shared" si="2"/>
        <v>15990.15</v>
      </c>
    </row>
    <row r="65" spans="4:15" x14ac:dyDescent="0.3">
      <c r="D65">
        <v>13214.999999999998</v>
      </c>
      <c r="F65">
        <f t="shared" si="0"/>
        <v>26.429999999999996</v>
      </c>
      <c r="K65">
        <v>26.429999999999996</v>
      </c>
      <c r="M65">
        <f t="shared" si="1"/>
        <v>14536.499999999998</v>
      </c>
      <c r="O65">
        <f t="shared" si="2"/>
        <v>15990.15</v>
      </c>
    </row>
    <row r="66" spans="4:15" x14ac:dyDescent="0.3">
      <c r="D66">
        <v>13214.999999999998</v>
      </c>
      <c r="F66">
        <f t="shared" si="0"/>
        <v>26.429999999999996</v>
      </c>
      <c r="K66">
        <v>26.429999999999996</v>
      </c>
      <c r="M66">
        <f t="shared" si="1"/>
        <v>14536.499999999998</v>
      </c>
      <c r="O66">
        <f t="shared" si="2"/>
        <v>15990.15</v>
      </c>
    </row>
    <row r="67" spans="4:15" x14ac:dyDescent="0.3">
      <c r="D67">
        <v>13214.999999999998</v>
      </c>
      <c r="F67">
        <f t="shared" si="0"/>
        <v>26.429999999999996</v>
      </c>
      <c r="K67">
        <v>26.429999999999996</v>
      </c>
      <c r="M67">
        <f t="shared" si="1"/>
        <v>14536.499999999998</v>
      </c>
      <c r="O67">
        <f t="shared" si="2"/>
        <v>15990.15</v>
      </c>
    </row>
    <row r="68" spans="4:15" x14ac:dyDescent="0.3">
      <c r="D68">
        <v>10244.999999999998</v>
      </c>
      <c r="F68">
        <f t="shared" si="0"/>
        <v>20.489999999999995</v>
      </c>
      <c r="K68">
        <v>20.489999999999995</v>
      </c>
      <c r="M68">
        <f t="shared" si="1"/>
        <v>11269.499999999996</v>
      </c>
      <c r="O68">
        <f t="shared" si="2"/>
        <v>12396.449999999997</v>
      </c>
    </row>
    <row r="69" spans="4:15" x14ac:dyDescent="0.3">
      <c r="D69">
        <v>8760</v>
      </c>
      <c r="F69">
        <f t="shared" ref="F69:F73" si="3">D69/500</f>
        <v>17.52</v>
      </c>
      <c r="K69">
        <v>17.52</v>
      </c>
      <c r="M69">
        <f t="shared" ref="M69:M132" si="4">K69*550</f>
        <v>9636</v>
      </c>
      <c r="O69">
        <f t="shared" ref="O69:O132" si="5">M69*1.1</f>
        <v>10599.6</v>
      </c>
    </row>
    <row r="70" spans="4:15" x14ac:dyDescent="0.3">
      <c r="D70">
        <v>12474.999999999998</v>
      </c>
      <c r="F70">
        <f t="shared" si="3"/>
        <v>24.949999999999996</v>
      </c>
      <c r="K70">
        <v>24.949999999999996</v>
      </c>
      <c r="M70">
        <f t="shared" si="4"/>
        <v>13722.499999999998</v>
      </c>
      <c r="O70">
        <f t="shared" si="5"/>
        <v>15094.75</v>
      </c>
    </row>
    <row r="71" spans="4:15" x14ac:dyDescent="0.3">
      <c r="D71">
        <v>12474.999999999998</v>
      </c>
      <c r="F71">
        <f t="shared" si="3"/>
        <v>24.949999999999996</v>
      </c>
      <c r="K71">
        <v>24.949999999999996</v>
      </c>
      <c r="M71">
        <f t="shared" si="4"/>
        <v>13722.499999999998</v>
      </c>
      <c r="O71">
        <f t="shared" si="5"/>
        <v>15094.75</v>
      </c>
    </row>
    <row r="72" spans="4:15" x14ac:dyDescent="0.3">
      <c r="D72">
        <v>22125</v>
      </c>
      <c r="F72">
        <f t="shared" si="3"/>
        <v>44.25</v>
      </c>
      <c r="K72">
        <v>44.25</v>
      </c>
      <c r="M72">
        <f t="shared" si="4"/>
        <v>24337.5</v>
      </c>
      <c r="O72">
        <f t="shared" si="5"/>
        <v>26771.250000000004</v>
      </c>
    </row>
    <row r="73" spans="4:15" x14ac:dyDescent="0.3">
      <c r="D73">
        <v>22125</v>
      </c>
      <c r="F73">
        <f t="shared" si="3"/>
        <v>44.25</v>
      </c>
      <c r="K73">
        <v>44.25</v>
      </c>
      <c r="M73">
        <f t="shared" si="4"/>
        <v>24337.5</v>
      </c>
      <c r="O73">
        <f t="shared" si="5"/>
        <v>26771.250000000004</v>
      </c>
    </row>
    <row r="74" spans="4:15" x14ac:dyDescent="0.3">
      <c r="K74">
        <v>14.55</v>
      </c>
      <c r="M74">
        <f t="shared" si="4"/>
        <v>8002.5</v>
      </c>
      <c r="O74">
        <f t="shared" si="5"/>
        <v>8802.75</v>
      </c>
    </row>
    <row r="75" spans="4:15" x14ac:dyDescent="0.3">
      <c r="K75">
        <v>13.07</v>
      </c>
      <c r="M75">
        <f t="shared" si="4"/>
        <v>7188.5</v>
      </c>
      <c r="O75">
        <f t="shared" si="5"/>
        <v>7907.35</v>
      </c>
    </row>
    <row r="76" spans="4:15" x14ac:dyDescent="0.3">
      <c r="K76">
        <v>13.07</v>
      </c>
      <c r="M76">
        <f t="shared" si="4"/>
        <v>7188.5</v>
      </c>
      <c r="O76">
        <f t="shared" si="5"/>
        <v>7907.35</v>
      </c>
    </row>
    <row r="77" spans="4:15" x14ac:dyDescent="0.3">
      <c r="K77">
        <v>22.61</v>
      </c>
      <c r="M77">
        <f t="shared" si="4"/>
        <v>12435.5</v>
      </c>
      <c r="O77">
        <f t="shared" si="5"/>
        <v>13679.050000000001</v>
      </c>
    </row>
    <row r="78" spans="4:15" x14ac:dyDescent="0.3">
      <c r="K78">
        <v>22.61</v>
      </c>
      <c r="M78">
        <f t="shared" si="4"/>
        <v>12435.5</v>
      </c>
      <c r="O78">
        <f t="shared" si="5"/>
        <v>13679.050000000001</v>
      </c>
    </row>
    <row r="79" spans="4:15" x14ac:dyDescent="0.3">
      <c r="K79">
        <v>23.46</v>
      </c>
      <c r="M79">
        <f t="shared" si="4"/>
        <v>12903</v>
      </c>
      <c r="O79">
        <f t="shared" si="5"/>
        <v>14193.300000000001</v>
      </c>
    </row>
    <row r="80" spans="4:15" x14ac:dyDescent="0.3">
      <c r="K80">
        <v>23.46</v>
      </c>
      <c r="M80">
        <f t="shared" si="4"/>
        <v>12903</v>
      </c>
      <c r="O80">
        <f t="shared" si="5"/>
        <v>14193.300000000001</v>
      </c>
    </row>
    <row r="81" spans="11:15" x14ac:dyDescent="0.3">
      <c r="K81">
        <v>23.46</v>
      </c>
      <c r="M81">
        <f t="shared" si="4"/>
        <v>12903</v>
      </c>
      <c r="O81">
        <f t="shared" si="5"/>
        <v>14193.300000000001</v>
      </c>
    </row>
    <row r="82" spans="11:15" x14ac:dyDescent="0.3">
      <c r="K82">
        <v>23.46</v>
      </c>
      <c r="M82">
        <f t="shared" si="4"/>
        <v>12903</v>
      </c>
      <c r="O82">
        <f t="shared" si="5"/>
        <v>14193.300000000001</v>
      </c>
    </row>
    <row r="83" spans="11:15" x14ac:dyDescent="0.3">
      <c r="K83">
        <v>19.010000000000002</v>
      </c>
      <c r="M83">
        <f t="shared" si="4"/>
        <v>10455.5</v>
      </c>
      <c r="O83">
        <f t="shared" si="5"/>
        <v>11501.050000000001</v>
      </c>
    </row>
    <row r="84" spans="11:15" x14ac:dyDescent="0.3">
      <c r="K84">
        <v>20.49</v>
      </c>
      <c r="M84">
        <f t="shared" si="4"/>
        <v>11269.5</v>
      </c>
      <c r="O84">
        <f t="shared" si="5"/>
        <v>12396.45</v>
      </c>
    </row>
    <row r="85" spans="11:15" x14ac:dyDescent="0.3">
      <c r="K85">
        <v>23.46</v>
      </c>
      <c r="M85">
        <f t="shared" si="4"/>
        <v>12903</v>
      </c>
      <c r="O85">
        <f t="shared" si="5"/>
        <v>14193.300000000001</v>
      </c>
    </row>
    <row r="86" spans="11:15" x14ac:dyDescent="0.3">
      <c r="K86">
        <v>21.98</v>
      </c>
      <c r="M86">
        <f t="shared" si="4"/>
        <v>12089</v>
      </c>
      <c r="O86">
        <f t="shared" si="5"/>
        <v>13297.900000000001</v>
      </c>
    </row>
    <row r="87" spans="11:15" x14ac:dyDescent="0.3">
      <c r="K87">
        <v>17.52</v>
      </c>
      <c r="M87">
        <f t="shared" si="4"/>
        <v>9636</v>
      </c>
      <c r="O87">
        <f t="shared" si="5"/>
        <v>10599.6</v>
      </c>
    </row>
    <row r="88" spans="11:15" x14ac:dyDescent="0.3">
      <c r="K88">
        <v>17.52</v>
      </c>
      <c r="M88">
        <f t="shared" si="4"/>
        <v>9636</v>
      </c>
      <c r="O88">
        <f t="shared" si="5"/>
        <v>10599.6</v>
      </c>
    </row>
    <row r="89" spans="11:15" x14ac:dyDescent="0.3">
      <c r="K89">
        <v>21.98</v>
      </c>
      <c r="M89">
        <f t="shared" si="4"/>
        <v>12089</v>
      </c>
      <c r="O89">
        <f t="shared" si="5"/>
        <v>13297.900000000001</v>
      </c>
    </row>
    <row r="90" spans="11:15" x14ac:dyDescent="0.3">
      <c r="K90">
        <v>21.98</v>
      </c>
      <c r="M90">
        <f t="shared" si="4"/>
        <v>12089</v>
      </c>
      <c r="O90">
        <f t="shared" si="5"/>
        <v>13297.900000000001</v>
      </c>
    </row>
    <row r="91" spans="11:15" x14ac:dyDescent="0.3">
      <c r="K91">
        <v>19.010000000000002</v>
      </c>
      <c r="M91">
        <f t="shared" si="4"/>
        <v>10455.5</v>
      </c>
      <c r="O91">
        <f t="shared" si="5"/>
        <v>11501.050000000001</v>
      </c>
    </row>
    <row r="92" spans="11:15" x14ac:dyDescent="0.3">
      <c r="K92">
        <v>19.010000000000002</v>
      </c>
      <c r="M92">
        <f t="shared" si="4"/>
        <v>10455.5</v>
      </c>
      <c r="O92">
        <f t="shared" si="5"/>
        <v>11501.050000000001</v>
      </c>
    </row>
    <row r="93" spans="11:15" x14ac:dyDescent="0.3">
      <c r="K93">
        <v>14.55</v>
      </c>
      <c r="M93">
        <f t="shared" si="4"/>
        <v>8002.5</v>
      </c>
      <c r="O93">
        <f t="shared" si="5"/>
        <v>8802.75</v>
      </c>
    </row>
    <row r="94" spans="11:15" x14ac:dyDescent="0.3">
      <c r="K94">
        <v>44.25</v>
      </c>
      <c r="M94">
        <f t="shared" si="4"/>
        <v>24337.5</v>
      </c>
      <c r="O94">
        <f t="shared" si="5"/>
        <v>26771.250000000004</v>
      </c>
    </row>
    <row r="95" spans="11:15" x14ac:dyDescent="0.3">
      <c r="K95">
        <v>21.98</v>
      </c>
      <c r="M95">
        <f t="shared" si="4"/>
        <v>12089</v>
      </c>
      <c r="O95">
        <f t="shared" si="5"/>
        <v>13297.900000000001</v>
      </c>
    </row>
    <row r="96" spans="11:15" x14ac:dyDescent="0.3">
      <c r="K96">
        <v>21.98</v>
      </c>
      <c r="M96">
        <f t="shared" si="4"/>
        <v>12089</v>
      </c>
      <c r="O96">
        <f t="shared" si="5"/>
        <v>13297.900000000001</v>
      </c>
    </row>
    <row r="97" spans="11:15" x14ac:dyDescent="0.3">
      <c r="K97">
        <v>21.98</v>
      </c>
      <c r="M97">
        <f t="shared" si="4"/>
        <v>12089</v>
      </c>
      <c r="O97">
        <f t="shared" si="5"/>
        <v>13297.900000000001</v>
      </c>
    </row>
    <row r="98" spans="11:15" x14ac:dyDescent="0.3">
      <c r="K98">
        <v>19.010000000000002</v>
      </c>
      <c r="M98">
        <f t="shared" si="4"/>
        <v>10455.5</v>
      </c>
      <c r="O98">
        <f t="shared" si="5"/>
        <v>11501.050000000001</v>
      </c>
    </row>
    <row r="99" spans="11:15" x14ac:dyDescent="0.3">
      <c r="K99">
        <v>19.010000000000002</v>
      </c>
      <c r="M99">
        <f t="shared" si="4"/>
        <v>10455.5</v>
      </c>
      <c r="O99">
        <f t="shared" si="5"/>
        <v>11501.050000000001</v>
      </c>
    </row>
    <row r="100" spans="11:15" x14ac:dyDescent="0.3">
      <c r="K100">
        <v>19.010000000000002</v>
      </c>
      <c r="M100">
        <f t="shared" si="4"/>
        <v>10455.5</v>
      </c>
      <c r="O100">
        <f t="shared" si="5"/>
        <v>11501.050000000001</v>
      </c>
    </row>
    <row r="101" spans="11:15" x14ac:dyDescent="0.3">
      <c r="K101">
        <v>19.010000000000002</v>
      </c>
      <c r="M101">
        <f t="shared" si="4"/>
        <v>10455.5</v>
      </c>
      <c r="O101">
        <f t="shared" si="5"/>
        <v>11501.050000000001</v>
      </c>
    </row>
    <row r="102" spans="11:15" x14ac:dyDescent="0.3">
      <c r="K102">
        <v>19.010000000000002</v>
      </c>
      <c r="M102">
        <f t="shared" si="4"/>
        <v>10455.5</v>
      </c>
      <c r="O102">
        <f t="shared" si="5"/>
        <v>11501.050000000001</v>
      </c>
    </row>
    <row r="103" spans="11:15" x14ac:dyDescent="0.3">
      <c r="K103">
        <v>20.49</v>
      </c>
      <c r="M103">
        <f t="shared" si="4"/>
        <v>11269.5</v>
      </c>
      <c r="O103">
        <f t="shared" si="5"/>
        <v>12396.45</v>
      </c>
    </row>
    <row r="104" spans="11:15" x14ac:dyDescent="0.3">
      <c r="K104">
        <v>20.49</v>
      </c>
      <c r="M104">
        <f t="shared" si="4"/>
        <v>11269.5</v>
      </c>
      <c r="O104">
        <f t="shared" si="5"/>
        <v>12396.45</v>
      </c>
    </row>
    <row r="105" spans="11:15" x14ac:dyDescent="0.3">
      <c r="K105">
        <v>20.49</v>
      </c>
      <c r="M105">
        <f t="shared" si="4"/>
        <v>11269.5</v>
      </c>
      <c r="O105">
        <f t="shared" si="5"/>
        <v>12396.45</v>
      </c>
    </row>
    <row r="106" spans="11:15" x14ac:dyDescent="0.3">
      <c r="K106">
        <v>23.46</v>
      </c>
      <c r="M106">
        <f t="shared" si="4"/>
        <v>12903</v>
      </c>
      <c r="O106">
        <f t="shared" si="5"/>
        <v>14193.300000000001</v>
      </c>
    </row>
    <row r="107" spans="11:15" x14ac:dyDescent="0.3">
      <c r="K107">
        <v>23.46</v>
      </c>
      <c r="M107">
        <f t="shared" si="4"/>
        <v>12903</v>
      </c>
      <c r="O107">
        <f t="shared" si="5"/>
        <v>14193.300000000001</v>
      </c>
    </row>
    <row r="108" spans="11:15" x14ac:dyDescent="0.3">
      <c r="K108">
        <v>23.46</v>
      </c>
      <c r="M108">
        <f t="shared" si="4"/>
        <v>12903</v>
      </c>
      <c r="O108">
        <f t="shared" si="5"/>
        <v>14193.300000000001</v>
      </c>
    </row>
    <row r="109" spans="11:15" x14ac:dyDescent="0.3">
      <c r="K109">
        <v>23.46</v>
      </c>
      <c r="M109">
        <f t="shared" si="4"/>
        <v>12903</v>
      </c>
      <c r="O109">
        <f t="shared" si="5"/>
        <v>14193.300000000001</v>
      </c>
    </row>
    <row r="110" spans="11:15" x14ac:dyDescent="0.3">
      <c r="K110">
        <v>41.28</v>
      </c>
      <c r="M110">
        <f t="shared" si="4"/>
        <v>22704</v>
      </c>
      <c r="O110">
        <f t="shared" si="5"/>
        <v>24974.400000000001</v>
      </c>
    </row>
    <row r="111" spans="11:15" x14ac:dyDescent="0.3">
      <c r="K111">
        <v>41.28</v>
      </c>
      <c r="M111">
        <f t="shared" si="4"/>
        <v>22704</v>
      </c>
      <c r="O111">
        <f t="shared" si="5"/>
        <v>24974.400000000001</v>
      </c>
    </row>
    <row r="112" spans="11:15" x14ac:dyDescent="0.3">
      <c r="K112">
        <v>41.28</v>
      </c>
      <c r="M112">
        <f t="shared" si="4"/>
        <v>22704</v>
      </c>
      <c r="O112">
        <f t="shared" si="5"/>
        <v>24974.400000000001</v>
      </c>
    </row>
    <row r="113" spans="11:15" x14ac:dyDescent="0.3">
      <c r="K113">
        <v>41.28</v>
      </c>
      <c r="M113">
        <f t="shared" si="4"/>
        <v>22704</v>
      </c>
      <c r="O113">
        <f t="shared" si="5"/>
        <v>24974.400000000001</v>
      </c>
    </row>
    <row r="114" spans="11:15" x14ac:dyDescent="0.3">
      <c r="K114">
        <v>44.25</v>
      </c>
      <c r="M114">
        <f t="shared" si="4"/>
        <v>24337.5</v>
      </c>
      <c r="O114">
        <f t="shared" si="5"/>
        <v>26771.250000000004</v>
      </c>
    </row>
    <row r="115" spans="11:15" x14ac:dyDescent="0.3">
      <c r="K115">
        <v>44.25</v>
      </c>
      <c r="M115">
        <f t="shared" si="4"/>
        <v>24337.5</v>
      </c>
      <c r="O115">
        <f t="shared" si="5"/>
        <v>26771.250000000004</v>
      </c>
    </row>
    <row r="116" spans="11:15" x14ac:dyDescent="0.3">
      <c r="K116">
        <v>44.25</v>
      </c>
      <c r="M116">
        <f t="shared" si="4"/>
        <v>24337.5</v>
      </c>
      <c r="O116">
        <f t="shared" si="5"/>
        <v>26771.250000000004</v>
      </c>
    </row>
    <row r="117" spans="11:15" x14ac:dyDescent="0.3">
      <c r="K117">
        <v>23.46</v>
      </c>
      <c r="M117">
        <f t="shared" si="4"/>
        <v>12903</v>
      </c>
      <c r="O117">
        <f t="shared" si="5"/>
        <v>14193.300000000001</v>
      </c>
    </row>
    <row r="118" spans="11:15" x14ac:dyDescent="0.3">
      <c r="K118">
        <v>23.46</v>
      </c>
      <c r="M118">
        <f t="shared" si="4"/>
        <v>12903</v>
      </c>
      <c r="O118">
        <f t="shared" si="5"/>
        <v>14193.300000000001</v>
      </c>
    </row>
    <row r="119" spans="11:15" x14ac:dyDescent="0.3">
      <c r="K119">
        <v>23.46</v>
      </c>
      <c r="M119">
        <f t="shared" si="4"/>
        <v>12903</v>
      </c>
      <c r="O119">
        <f t="shared" si="5"/>
        <v>14193.300000000001</v>
      </c>
    </row>
    <row r="120" spans="11:15" x14ac:dyDescent="0.3">
      <c r="K120">
        <v>23.46</v>
      </c>
      <c r="M120">
        <f t="shared" si="4"/>
        <v>12903</v>
      </c>
      <c r="O120">
        <f t="shared" si="5"/>
        <v>14193.300000000001</v>
      </c>
    </row>
    <row r="121" spans="11:15" x14ac:dyDescent="0.3">
      <c r="K121">
        <v>41.28</v>
      </c>
      <c r="M121">
        <f t="shared" si="4"/>
        <v>22704</v>
      </c>
      <c r="O121">
        <f t="shared" si="5"/>
        <v>24974.400000000001</v>
      </c>
    </row>
    <row r="122" spans="11:15" x14ac:dyDescent="0.3">
      <c r="K122">
        <v>26.43</v>
      </c>
      <c r="M122">
        <f t="shared" si="4"/>
        <v>14536.5</v>
      </c>
      <c r="O122">
        <f t="shared" si="5"/>
        <v>15990.150000000001</v>
      </c>
    </row>
    <row r="123" spans="11:15" x14ac:dyDescent="0.3">
      <c r="K123">
        <v>26.43</v>
      </c>
      <c r="M123">
        <f t="shared" si="4"/>
        <v>14536.5</v>
      </c>
      <c r="O123">
        <f t="shared" si="5"/>
        <v>15990.150000000001</v>
      </c>
    </row>
    <row r="124" spans="11:15" x14ac:dyDescent="0.3">
      <c r="K124">
        <v>20.49</v>
      </c>
      <c r="M124">
        <f t="shared" si="4"/>
        <v>11269.5</v>
      </c>
      <c r="O124">
        <f t="shared" si="5"/>
        <v>12396.45</v>
      </c>
    </row>
    <row r="125" spans="11:15" x14ac:dyDescent="0.3">
      <c r="K125">
        <v>20.49</v>
      </c>
      <c r="M125">
        <f t="shared" si="4"/>
        <v>11269.5</v>
      </c>
      <c r="O125">
        <f t="shared" si="5"/>
        <v>12396.45</v>
      </c>
    </row>
    <row r="126" spans="11:15" x14ac:dyDescent="0.3">
      <c r="K126">
        <v>20.49</v>
      </c>
      <c r="M126">
        <f t="shared" si="4"/>
        <v>11269.5</v>
      </c>
      <c r="O126">
        <f t="shared" si="5"/>
        <v>12396.45</v>
      </c>
    </row>
    <row r="127" spans="11:15" x14ac:dyDescent="0.3">
      <c r="K127">
        <v>20.49</v>
      </c>
      <c r="M127">
        <f t="shared" si="4"/>
        <v>11269.5</v>
      </c>
      <c r="O127">
        <f t="shared" si="5"/>
        <v>12396.45</v>
      </c>
    </row>
    <row r="128" spans="11:15" x14ac:dyDescent="0.3">
      <c r="K128">
        <v>17.52</v>
      </c>
      <c r="M128">
        <f t="shared" si="4"/>
        <v>9636</v>
      </c>
      <c r="O128">
        <f t="shared" si="5"/>
        <v>10599.6</v>
      </c>
    </row>
    <row r="129" spans="11:15" x14ac:dyDescent="0.3">
      <c r="K129">
        <v>17.52</v>
      </c>
      <c r="M129">
        <f t="shared" si="4"/>
        <v>9636</v>
      </c>
      <c r="O129">
        <f t="shared" si="5"/>
        <v>10599.6</v>
      </c>
    </row>
    <row r="130" spans="11:15" x14ac:dyDescent="0.3">
      <c r="K130">
        <v>20.49</v>
      </c>
      <c r="M130">
        <f t="shared" si="4"/>
        <v>11269.5</v>
      </c>
      <c r="O130">
        <f t="shared" si="5"/>
        <v>12396.45</v>
      </c>
    </row>
    <row r="131" spans="11:15" x14ac:dyDescent="0.3">
      <c r="K131">
        <v>20.49</v>
      </c>
      <c r="M131">
        <f t="shared" si="4"/>
        <v>11269.5</v>
      </c>
      <c r="O131">
        <f t="shared" si="5"/>
        <v>12396.45</v>
      </c>
    </row>
    <row r="132" spans="11:15" x14ac:dyDescent="0.3">
      <c r="K132">
        <v>17.52</v>
      </c>
      <c r="M132">
        <f t="shared" si="4"/>
        <v>9636</v>
      </c>
      <c r="O132">
        <f t="shared" si="5"/>
        <v>10599.6</v>
      </c>
    </row>
    <row r="133" spans="11:15" x14ac:dyDescent="0.3">
      <c r="K133">
        <v>47.22</v>
      </c>
      <c r="M133">
        <f t="shared" ref="M133:M177" si="6">K133*550</f>
        <v>25971</v>
      </c>
      <c r="O133">
        <f t="shared" ref="O133:O177" si="7">M133*1.1</f>
        <v>28568.100000000002</v>
      </c>
    </row>
    <row r="134" spans="11:15" x14ac:dyDescent="0.3">
      <c r="K134">
        <v>47.22</v>
      </c>
      <c r="M134">
        <f t="shared" si="6"/>
        <v>25971</v>
      </c>
      <c r="O134">
        <f t="shared" si="7"/>
        <v>28568.100000000002</v>
      </c>
    </row>
    <row r="135" spans="11:15" x14ac:dyDescent="0.3">
      <c r="K135">
        <v>47.22</v>
      </c>
      <c r="M135">
        <f t="shared" si="6"/>
        <v>25971</v>
      </c>
      <c r="O135">
        <f t="shared" si="7"/>
        <v>28568.100000000002</v>
      </c>
    </row>
    <row r="136" spans="11:15" x14ac:dyDescent="0.3">
      <c r="K136">
        <v>47.22</v>
      </c>
      <c r="M136">
        <f t="shared" si="6"/>
        <v>25971</v>
      </c>
      <c r="O136">
        <f t="shared" si="7"/>
        <v>28568.100000000002</v>
      </c>
    </row>
    <row r="137" spans="11:15" x14ac:dyDescent="0.3">
      <c r="K137">
        <v>44.25</v>
      </c>
      <c r="M137">
        <f t="shared" si="6"/>
        <v>24337.5</v>
      </c>
      <c r="O137">
        <f t="shared" si="7"/>
        <v>26771.250000000004</v>
      </c>
    </row>
    <row r="138" spans="11:15" x14ac:dyDescent="0.3">
      <c r="K138">
        <v>44.25</v>
      </c>
      <c r="M138">
        <f t="shared" si="6"/>
        <v>24337.5</v>
      </c>
      <c r="O138">
        <f t="shared" si="7"/>
        <v>26771.250000000004</v>
      </c>
    </row>
    <row r="139" spans="11:15" x14ac:dyDescent="0.3">
      <c r="K139">
        <v>44.25</v>
      </c>
      <c r="M139">
        <f t="shared" si="6"/>
        <v>24337.5</v>
      </c>
      <c r="O139">
        <f t="shared" si="7"/>
        <v>26771.250000000004</v>
      </c>
    </row>
    <row r="140" spans="11:15" x14ac:dyDescent="0.3">
      <c r="K140">
        <v>44.25</v>
      </c>
      <c r="M140">
        <f t="shared" si="6"/>
        <v>24337.5</v>
      </c>
      <c r="O140">
        <f t="shared" si="7"/>
        <v>26771.250000000004</v>
      </c>
    </row>
    <row r="141" spans="11:15" x14ac:dyDescent="0.3">
      <c r="K141">
        <v>44.25</v>
      </c>
      <c r="M141">
        <f t="shared" si="6"/>
        <v>24337.5</v>
      </c>
      <c r="O141">
        <f t="shared" si="7"/>
        <v>26771.250000000004</v>
      </c>
    </row>
    <row r="142" spans="11:15" x14ac:dyDescent="0.3">
      <c r="K142">
        <v>47.22</v>
      </c>
      <c r="M142">
        <f t="shared" si="6"/>
        <v>25971</v>
      </c>
      <c r="O142">
        <f t="shared" si="7"/>
        <v>28568.100000000002</v>
      </c>
    </row>
    <row r="143" spans="11:15" x14ac:dyDescent="0.3">
      <c r="K143">
        <v>47.22</v>
      </c>
      <c r="M143">
        <f t="shared" si="6"/>
        <v>25971</v>
      </c>
      <c r="O143">
        <f t="shared" si="7"/>
        <v>28568.100000000002</v>
      </c>
    </row>
    <row r="144" spans="11:15" x14ac:dyDescent="0.3">
      <c r="K144">
        <v>47.22</v>
      </c>
      <c r="M144">
        <f t="shared" si="6"/>
        <v>25971</v>
      </c>
      <c r="O144">
        <f t="shared" si="7"/>
        <v>28568.100000000002</v>
      </c>
    </row>
    <row r="145" spans="11:15" x14ac:dyDescent="0.3">
      <c r="K145">
        <v>47.22</v>
      </c>
      <c r="M145">
        <f t="shared" si="6"/>
        <v>25971</v>
      </c>
      <c r="O145">
        <f t="shared" si="7"/>
        <v>28568.100000000002</v>
      </c>
    </row>
    <row r="146" spans="11:15" x14ac:dyDescent="0.3">
      <c r="K146">
        <v>20.49</v>
      </c>
      <c r="M146">
        <f t="shared" si="6"/>
        <v>11269.5</v>
      </c>
      <c r="O146">
        <f t="shared" si="7"/>
        <v>12396.45</v>
      </c>
    </row>
    <row r="147" spans="11:15" x14ac:dyDescent="0.3">
      <c r="K147">
        <v>20.49</v>
      </c>
      <c r="M147">
        <f t="shared" si="6"/>
        <v>11269.5</v>
      </c>
      <c r="O147">
        <f t="shared" si="7"/>
        <v>12396.45</v>
      </c>
    </row>
    <row r="148" spans="11:15" x14ac:dyDescent="0.3">
      <c r="K148">
        <v>20.49</v>
      </c>
      <c r="M148">
        <f t="shared" si="6"/>
        <v>11269.5</v>
      </c>
      <c r="O148">
        <f t="shared" si="7"/>
        <v>12396.45</v>
      </c>
    </row>
    <row r="149" spans="11:15" x14ac:dyDescent="0.3">
      <c r="K149">
        <v>20.49</v>
      </c>
      <c r="M149">
        <f t="shared" si="6"/>
        <v>11269.5</v>
      </c>
      <c r="O149">
        <f t="shared" si="7"/>
        <v>12396.45</v>
      </c>
    </row>
    <row r="150" spans="11:15" x14ac:dyDescent="0.3">
      <c r="K150">
        <v>20.49</v>
      </c>
      <c r="M150">
        <f t="shared" si="6"/>
        <v>11269.5</v>
      </c>
      <c r="O150">
        <f t="shared" si="7"/>
        <v>12396.45</v>
      </c>
    </row>
    <row r="151" spans="11:15" x14ac:dyDescent="0.3">
      <c r="K151">
        <v>20.49</v>
      </c>
      <c r="M151">
        <f t="shared" si="6"/>
        <v>11269.5</v>
      </c>
      <c r="O151">
        <f t="shared" si="7"/>
        <v>12396.45</v>
      </c>
    </row>
    <row r="152" spans="11:15" x14ac:dyDescent="0.3">
      <c r="K152">
        <v>17.52</v>
      </c>
      <c r="M152">
        <f t="shared" si="6"/>
        <v>9636</v>
      </c>
      <c r="O152">
        <f t="shared" si="7"/>
        <v>10599.6</v>
      </c>
    </row>
    <row r="153" spans="11:15" x14ac:dyDescent="0.3">
      <c r="K153">
        <v>23.46</v>
      </c>
      <c r="M153">
        <f t="shared" si="6"/>
        <v>12903</v>
      </c>
      <c r="O153">
        <f t="shared" si="7"/>
        <v>14193.300000000001</v>
      </c>
    </row>
    <row r="154" spans="11:15" x14ac:dyDescent="0.3">
      <c r="K154">
        <v>23.46</v>
      </c>
      <c r="M154">
        <f t="shared" si="6"/>
        <v>12903</v>
      </c>
      <c r="O154">
        <f t="shared" si="7"/>
        <v>14193.300000000001</v>
      </c>
    </row>
    <row r="155" spans="11:15" x14ac:dyDescent="0.3">
      <c r="K155">
        <v>23.46</v>
      </c>
      <c r="M155">
        <f t="shared" si="6"/>
        <v>12903</v>
      </c>
      <c r="O155">
        <f t="shared" si="7"/>
        <v>14193.300000000001</v>
      </c>
    </row>
    <row r="156" spans="11:15" x14ac:dyDescent="0.3">
      <c r="K156">
        <v>23.46</v>
      </c>
      <c r="M156">
        <f t="shared" si="6"/>
        <v>12903</v>
      </c>
      <c r="O156">
        <f t="shared" si="7"/>
        <v>14193.300000000001</v>
      </c>
    </row>
    <row r="157" spans="11:15" x14ac:dyDescent="0.3">
      <c r="K157">
        <v>23.46</v>
      </c>
      <c r="M157">
        <f t="shared" si="6"/>
        <v>12903</v>
      </c>
      <c r="O157">
        <f t="shared" si="7"/>
        <v>14193.300000000001</v>
      </c>
    </row>
    <row r="158" spans="11:15" x14ac:dyDescent="0.3">
      <c r="K158">
        <v>23.46</v>
      </c>
      <c r="M158">
        <f t="shared" si="6"/>
        <v>12903</v>
      </c>
      <c r="O158">
        <f t="shared" si="7"/>
        <v>14193.300000000001</v>
      </c>
    </row>
    <row r="159" spans="11:15" x14ac:dyDescent="0.3">
      <c r="K159">
        <v>23.46</v>
      </c>
      <c r="M159">
        <f t="shared" si="6"/>
        <v>12903</v>
      </c>
      <c r="O159">
        <f t="shared" si="7"/>
        <v>14193.300000000001</v>
      </c>
    </row>
    <row r="160" spans="11:15" x14ac:dyDescent="0.3">
      <c r="K160">
        <v>23.46</v>
      </c>
      <c r="M160">
        <f t="shared" si="6"/>
        <v>12903</v>
      </c>
      <c r="O160">
        <f t="shared" si="7"/>
        <v>14193.300000000001</v>
      </c>
    </row>
    <row r="161" spans="11:15" x14ac:dyDescent="0.3">
      <c r="K161">
        <v>23.46</v>
      </c>
      <c r="M161">
        <f t="shared" si="6"/>
        <v>12903</v>
      </c>
      <c r="O161">
        <f t="shared" si="7"/>
        <v>14193.300000000001</v>
      </c>
    </row>
    <row r="162" spans="11:15" x14ac:dyDescent="0.3">
      <c r="K162">
        <v>26.43</v>
      </c>
      <c r="M162">
        <f t="shared" si="6"/>
        <v>14536.5</v>
      </c>
      <c r="O162">
        <f t="shared" si="7"/>
        <v>15990.150000000001</v>
      </c>
    </row>
    <row r="163" spans="11:15" x14ac:dyDescent="0.3">
      <c r="K163">
        <v>21.98</v>
      </c>
      <c r="M163">
        <f t="shared" si="6"/>
        <v>12089</v>
      </c>
      <c r="O163">
        <f t="shared" si="7"/>
        <v>13297.900000000001</v>
      </c>
    </row>
    <row r="164" spans="11:15" x14ac:dyDescent="0.3">
      <c r="K164">
        <v>19.010000000000002</v>
      </c>
      <c r="M164">
        <f t="shared" si="6"/>
        <v>10455.5</v>
      </c>
      <c r="O164">
        <f t="shared" si="7"/>
        <v>11501.050000000001</v>
      </c>
    </row>
    <row r="165" spans="11:15" x14ac:dyDescent="0.3">
      <c r="K165">
        <v>19.010000000000002</v>
      </c>
      <c r="M165">
        <f t="shared" si="6"/>
        <v>10455.5</v>
      </c>
      <c r="O165">
        <f t="shared" si="7"/>
        <v>11501.050000000001</v>
      </c>
    </row>
    <row r="166" spans="11:15" x14ac:dyDescent="0.3">
      <c r="K166">
        <v>19.010000000000002</v>
      </c>
      <c r="M166">
        <f t="shared" si="6"/>
        <v>10455.5</v>
      </c>
      <c r="O166">
        <f t="shared" si="7"/>
        <v>11501.050000000001</v>
      </c>
    </row>
    <row r="167" spans="11:15" x14ac:dyDescent="0.3">
      <c r="K167">
        <v>20.49</v>
      </c>
      <c r="M167">
        <f t="shared" si="6"/>
        <v>11269.5</v>
      </c>
      <c r="O167">
        <f t="shared" si="7"/>
        <v>12396.45</v>
      </c>
    </row>
    <row r="168" spans="11:15" x14ac:dyDescent="0.3">
      <c r="K168">
        <v>17.52</v>
      </c>
      <c r="M168">
        <f t="shared" si="6"/>
        <v>9636</v>
      </c>
      <c r="O168">
        <f t="shared" si="7"/>
        <v>10599.6</v>
      </c>
    </row>
    <row r="169" spans="11:15" x14ac:dyDescent="0.3">
      <c r="K169">
        <v>17.52</v>
      </c>
      <c r="M169">
        <f t="shared" si="6"/>
        <v>9636</v>
      </c>
      <c r="O169">
        <f t="shared" si="7"/>
        <v>10599.6</v>
      </c>
    </row>
    <row r="170" spans="11:15" x14ac:dyDescent="0.3">
      <c r="K170">
        <v>17.52</v>
      </c>
      <c r="M170">
        <f t="shared" si="6"/>
        <v>9636</v>
      </c>
      <c r="O170">
        <f t="shared" si="7"/>
        <v>10599.6</v>
      </c>
    </row>
    <row r="171" spans="11:15" x14ac:dyDescent="0.3">
      <c r="K171">
        <v>26.43</v>
      </c>
      <c r="M171">
        <f t="shared" si="6"/>
        <v>14536.5</v>
      </c>
      <c r="O171">
        <f t="shared" si="7"/>
        <v>15990.150000000001</v>
      </c>
    </row>
    <row r="172" spans="11:15" x14ac:dyDescent="0.3">
      <c r="K172">
        <v>26.43</v>
      </c>
      <c r="M172">
        <f t="shared" si="6"/>
        <v>14536.5</v>
      </c>
      <c r="O172">
        <f t="shared" si="7"/>
        <v>15990.150000000001</v>
      </c>
    </row>
    <row r="173" spans="11:15" x14ac:dyDescent="0.3">
      <c r="K173">
        <v>26.43</v>
      </c>
      <c r="M173">
        <f t="shared" si="6"/>
        <v>14536.5</v>
      </c>
      <c r="O173">
        <f t="shared" si="7"/>
        <v>15990.150000000001</v>
      </c>
    </row>
    <row r="174" spans="11:15" x14ac:dyDescent="0.3">
      <c r="K174">
        <v>26.43</v>
      </c>
      <c r="M174">
        <f t="shared" si="6"/>
        <v>14536.5</v>
      </c>
      <c r="O174">
        <f t="shared" si="7"/>
        <v>15990.150000000001</v>
      </c>
    </row>
    <row r="175" spans="11:15" x14ac:dyDescent="0.3">
      <c r="K175">
        <v>26.43</v>
      </c>
      <c r="M175">
        <f t="shared" si="6"/>
        <v>14536.5</v>
      </c>
      <c r="O175">
        <f t="shared" si="7"/>
        <v>15990.150000000001</v>
      </c>
    </row>
    <row r="176" spans="11:15" x14ac:dyDescent="0.3">
      <c r="K176">
        <v>26.43</v>
      </c>
      <c r="M176">
        <f t="shared" si="6"/>
        <v>14536.5</v>
      </c>
      <c r="O176">
        <f t="shared" si="7"/>
        <v>15990.150000000001</v>
      </c>
    </row>
    <row r="177" spans="11:15" x14ac:dyDescent="0.3">
      <c r="K177" s="1">
        <v>29.4</v>
      </c>
      <c r="M177">
        <f t="shared" si="6"/>
        <v>16170</v>
      </c>
      <c r="O177">
        <f t="shared" si="7"/>
        <v>17787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2026-02-05T12:10:23Z</dcterms:modified>
</cp:coreProperties>
</file>